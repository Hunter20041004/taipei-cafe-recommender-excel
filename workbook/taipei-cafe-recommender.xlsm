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utseng\Downloads\"/>
    </mc:Choice>
  </mc:AlternateContent>
  <xr:revisionPtr revIDLastSave="0" documentId="13_ncr:1_{B430F4F4-94A7-4F28-AE6E-1A7843FB370B}" xr6:coauthVersionLast="47" xr6:coauthVersionMax="47" xr10:uidLastSave="{00000000-0000-0000-0000-000000000000}"/>
  <bookViews>
    <workbookView xWindow="280" yWindow="200" windowWidth="19180" windowHeight="11260" activeTab="1" xr2:uid="{00000000-000D-0000-FFFF-FFFF00000000}"/>
  </bookViews>
  <sheets>
    <sheet name="使用說明" sheetId="7" r:id="rId1"/>
    <sheet name="儀表板" sheetId="5" r:id="rId2"/>
    <sheet name="統計分析" sheetId="6" r:id="rId3"/>
    <sheet name="全部資料" sheetId="4" r:id="rId4"/>
    <sheet name="新店區" sheetId="1" r:id="rId5"/>
    <sheet name="文山區" sheetId="2" r:id="rId6"/>
    <sheet name="大安區" sheetId="3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2" i="5" l="1"/>
  <c r="D40" i="5"/>
  <c r="D39" i="5"/>
  <c r="D38" i="5"/>
  <c r="D37" i="5"/>
  <c r="D36" i="5"/>
  <c r="D35" i="5"/>
  <c r="D34" i="5"/>
  <c r="D33" i="5"/>
  <c r="G6" i="6" a="1"/>
  <c r="G6" i="6" s="1"/>
  <c r="G5" i="6" a="1"/>
  <c r="G5" i="6" s="1"/>
  <c r="G4" i="6" a="1"/>
  <c r="G4" i="6" s="1"/>
  <c r="F6" i="6" a="1"/>
  <c r="F6" i="6" s="1"/>
  <c r="F5" i="6" a="1"/>
  <c r="F5" i="6" s="1"/>
  <c r="F4" i="6" a="1"/>
  <c r="F4" i="6" s="1"/>
  <c r="C7" i="6"/>
  <c r="C4" i="6"/>
  <c r="D12" i="5"/>
  <c r="E12" i="5"/>
  <c r="F12" i="5"/>
  <c r="G12" i="5"/>
  <c r="H12" i="5"/>
  <c r="I12" i="5"/>
  <c r="D13" i="5"/>
  <c r="E13" i="5"/>
  <c r="F13" i="5"/>
  <c r="G13" i="5"/>
  <c r="H13" i="5"/>
  <c r="I13" i="5"/>
  <c r="D14" i="5"/>
  <c r="E14" i="5"/>
  <c r="F14" i="5"/>
  <c r="G14" i="5"/>
  <c r="H14" i="5"/>
  <c r="I14" i="5"/>
  <c r="D15" i="5"/>
  <c r="E15" i="5"/>
  <c r="F15" i="5"/>
  <c r="G15" i="5"/>
  <c r="H15" i="5"/>
  <c r="I15" i="5"/>
  <c r="D16" i="5"/>
  <c r="E16" i="5"/>
  <c r="F16" i="5"/>
  <c r="G16" i="5"/>
  <c r="H16" i="5"/>
  <c r="I16" i="5"/>
  <c r="D17" i="5"/>
  <c r="E17" i="5"/>
  <c r="F17" i="5"/>
  <c r="G17" i="5"/>
  <c r="H17" i="5"/>
  <c r="I17" i="5"/>
  <c r="D18" i="5"/>
  <c r="E18" i="5"/>
  <c r="F18" i="5"/>
  <c r="G18" i="5"/>
  <c r="H18" i="5"/>
  <c r="I18" i="5"/>
  <c r="D19" i="5"/>
  <c r="E19" i="5"/>
  <c r="F19" i="5"/>
  <c r="G19" i="5"/>
  <c r="H19" i="5"/>
  <c r="I19" i="5"/>
  <c r="D20" i="5"/>
  <c r="E20" i="5"/>
  <c r="F20" i="5"/>
  <c r="G20" i="5"/>
  <c r="H20" i="5"/>
  <c r="I20" i="5"/>
  <c r="D21" i="5"/>
  <c r="E21" i="5"/>
  <c r="F21" i="5"/>
  <c r="G21" i="5"/>
  <c r="H21" i="5"/>
  <c r="I21" i="5"/>
  <c r="D22" i="5"/>
  <c r="E22" i="5"/>
  <c r="F22" i="5"/>
  <c r="G22" i="5"/>
  <c r="H22" i="5"/>
  <c r="I22" i="5"/>
  <c r="D23" i="5"/>
  <c r="E23" i="5"/>
  <c r="F23" i="5"/>
  <c r="G23" i="5"/>
  <c r="H23" i="5"/>
  <c r="I23" i="5"/>
  <c r="D24" i="5"/>
  <c r="E24" i="5"/>
  <c r="F24" i="5"/>
  <c r="G24" i="5"/>
  <c r="H24" i="5"/>
  <c r="I24" i="5"/>
  <c r="D25" i="5"/>
  <c r="E25" i="5"/>
  <c r="F25" i="5"/>
  <c r="G25" i="5"/>
  <c r="H25" i="5"/>
  <c r="I25" i="5"/>
  <c r="I11" i="5"/>
  <c r="H11" i="5"/>
  <c r="G11" i="5"/>
  <c r="F11" i="5"/>
  <c r="E11" i="5"/>
  <c r="D11" i="5"/>
  <c r="C33" i="6" a="1"/>
  <c r="C33" i="6" s="1"/>
  <c r="C32" i="6" a="1"/>
  <c r="C32" i="6" s="1"/>
  <c r="C40" i="6"/>
  <c r="C39" i="6"/>
  <c r="C38" i="6"/>
  <c r="C37" i="6"/>
  <c r="C36" i="6"/>
  <c r="C35" i="6"/>
  <c r="C34" i="6"/>
  <c r="C31" i="6"/>
  <c r="C27" i="6"/>
  <c r="D27" i="6" s="1"/>
  <c r="C26" i="6"/>
  <c r="D26" i="6" s="1"/>
  <c r="C22" i="6"/>
  <c r="D22" i="6" s="1"/>
  <c r="C21" i="6"/>
  <c r="D21" i="6" s="1"/>
  <c r="C20" i="6"/>
  <c r="D20" i="6" s="1"/>
  <c r="C19" i="6"/>
  <c r="D19" i="6" s="1"/>
  <c r="C18" i="6"/>
  <c r="D18" i="6" s="1"/>
  <c r="C14" i="6"/>
  <c r="D14" i="6" s="1"/>
  <c r="C13" i="6"/>
  <c r="D13" i="6" s="1"/>
  <c r="C12" i="6"/>
  <c r="D12" i="6" s="1"/>
  <c r="C11" i="6"/>
  <c r="D11" i="6" s="1"/>
  <c r="G7" i="6"/>
  <c r="F7" i="6"/>
  <c r="E7" i="6"/>
  <c r="D7" i="6"/>
  <c r="E6" i="6"/>
  <c r="D6" i="6"/>
  <c r="C6" i="6"/>
  <c r="E5" i="6"/>
  <c r="D5" i="6"/>
  <c r="C5" i="6"/>
  <c r="E4" i="6"/>
  <c r="D4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<sst xmlns="http://schemas.openxmlformats.org/spreadsheetml/2006/main" count="596" uniqueCount="194">
  <si>
    <t>咖啡廳名稱</t>
  </si>
  <si>
    <t>距離(km)</t>
  </si>
  <si>
    <t>通勤時間(min)</t>
  </si>
  <si>
    <t>飲料均價</t>
  </si>
  <si>
    <t>有無甜食</t>
  </si>
  <si>
    <t>有無鹹食</t>
  </si>
  <si>
    <t>限不限時</t>
  </si>
  <si>
    <t>google星級</t>
  </si>
  <si>
    <t>google網址</t>
  </si>
  <si>
    <t>午甜Woodi</t>
  </si>
  <si>
    <t>有</t>
  </si>
  <si>
    <t>無</t>
  </si>
  <si>
    <t>有限時：平日客滿限時2小時，假日客滿限時1.5小時</t>
  </si>
  <si>
    <t>https://maps.app.goo.gl/uzJfbrEdpnnXFyau5</t>
  </si>
  <si>
    <t>墨啡商行</t>
  </si>
  <si>
    <t>有限時：客滿限時2小時</t>
  </si>
  <si>
    <t>https://maps.app.goo.gl/UGKpF4HnmpfGi4qw9</t>
  </si>
  <si>
    <t>荒謬咖啡</t>
  </si>
  <si>
    <t>https://maps.app.goo.gl/JVHDzfZcYt4ZTjq49</t>
  </si>
  <si>
    <t>兵室咖啡</t>
  </si>
  <si>
    <t>不限時</t>
  </si>
  <si>
    <t>https://maps.app.goo.gl/otSAxfLQUWBMibLL9</t>
  </si>
  <si>
    <t>和盼pathcafe</t>
  </si>
  <si>
    <t>有限時：限時1.5小時</t>
  </si>
  <si>
    <t>https://maps.app.goo.gl/bmLAWHyx3hvCP87u8</t>
  </si>
  <si>
    <t>晒渡咖啡</t>
  </si>
  <si>
    <t>https://maps.app.goo.gl/3aAXzeDZjk4GZfA48</t>
  </si>
  <si>
    <t>一畝田 咖啡輕食</t>
  </si>
  <si>
    <t>https://maps.app.goo.gl/eW86VgHKszYv3bJf7</t>
  </si>
  <si>
    <t xml:space="preserve">Local Local Coffee </t>
  </si>
  <si>
    <t>https://maps.app.goo.gl/wsjKPRX5zejntifK7</t>
  </si>
  <si>
    <t>Yarra Cafe</t>
  </si>
  <si>
    <t>https://maps.app.goo.gl/mGwRUk4J7yG1SgA77</t>
  </si>
  <si>
    <t>波波咖啡</t>
  </si>
  <si>
    <t>有限時：客滿限時1.5小時</t>
  </si>
  <si>
    <t>https://maps.app.goo.gl/bv3DRUy4MNbaGtft9</t>
  </si>
  <si>
    <t>The second half</t>
  </si>
  <si>
    <t>https://maps.app.goo.gl/FT1EYkK1k2aEe24e6?g_st=ic</t>
  </si>
  <si>
    <t>嬌嬌咖啡</t>
  </si>
  <si>
    <t>有限時：限時2小時</t>
  </si>
  <si>
    <t>https://maps.app.goo.gl/U5Mq6685tNbMWfFG7?g_st=ic</t>
  </si>
  <si>
    <t>黃山羊咖啡店</t>
  </si>
  <si>
    <t>https://maps.app.goo.gl/ZbYzMZBRQGsEz2LR8?g_st=ic</t>
  </si>
  <si>
    <t>河童家 かっぱや</t>
  </si>
  <si>
    <t>https://maps.app.goo.gl/Nmg8GUX67mAJ46yt9?g_st=ic</t>
  </si>
  <si>
    <t>金福咖啡 JinfuCoffee</t>
  </si>
  <si>
    <t>https://maps.app.goo.gl/CyTSMeMWsFWtRXXK9?g_st=ic</t>
  </si>
  <si>
    <t>草豆子手沖咖啡</t>
  </si>
  <si>
    <t>https://maps.app.goo.gl/UhmeQWtNsvPdtPbG7?g_st=ic</t>
  </si>
  <si>
    <t>咖啡喫茶 枝音</t>
  </si>
  <si>
    <t>有限時：平日不限時，假日限時2小時</t>
  </si>
  <si>
    <t>https://maps.app.goo.gl/VNw4wXjs8NHFEb8T6?g_st=ic</t>
  </si>
  <si>
    <t>周詮咖啡 Roundful Cafe</t>
  </si>
  <si>
    <t>https://maps.app.goo.gl/viN89oZrfrc4cjNv9?g_st=ic</t>
  </si>
  <si>
    <t>𝗦𝗵𝗼𝘂 𝗦𝗵𝗼𝘂 𝗖𝗼𝗳𝗳𝗲𝗲 惜惜咖啡</t>
  </si>
  <si>
    <t>https://maps.app.goo.gl/ZQxqjntgh8GTNbCf7?g_st=ic</t>
  </si>
  <si>
    <t>自由·之丘</t>
  </si>
  <si>
    <t>https://maps.app.goo.gl/aq31wyXXS8e3yUoe7?g_st=ic</t>
  </si>
  <si>
    <t>未央咖啡店</t>
  </si>
  <si>
    <t>https://maps.app.goo.gl/gecrSYnxedZ7aMrv6</t>
  </si>
  <si>
    <t>2J CAFE</t>
  </si>
  <si>
    <t>https://maps.app.goo.gl/xAirR7rcuJsDz3d46</t>
  </si>
  <si>
    <t>2730café 貳柒參零咖啡</t>
  </si>
  <si>
    <t>https://maps.app.goo.gl/ssaaC5ncrHkeJTR8A</t>
  </si>
  <si>
    <t>羊毛與花 ‧ 永康</t>
  </si>
  <si>
    <t>https://maps.app.goo.gl/ur9Uasix6sPd3LDc6</t>
  </si>
  <si>
    <t>小島慢遊 Let it Slow</t>
  </si>
  <si>
    <t>https://maps.app.goo.gl/cwxzD2xL7mpHoEQL7</t>
  </si>
  <si>
    <t>HOOD COFFEE</t>
  </si>
  <si>
    <t>https://maps.app.goo.gl/HyFDRWdDnT3Gtmef8</t>
  </si>
  <si>
    <t>CRO#FEE 咖啡井 - 復興店</t>
  </si>
  <si>
    <t>https://maps.app.goo.gl/p2W3c47LYDgXjWJfA</t>
  </si>
  <si>
    <t>坵粼咖啡</t>
  </si>
  <si>
    <t>https://maps.app.goo.gl/WCy9mqSaBVA8y5Pn7</t>
  </si>
  <si>
    <t>小米酒咖啡館</t>
  </si>
  <si>
    <t>https://maps.app.goo.gl/k2AobzuLgnNJb3YL8</t>
  </si>
  <si>
    <t>浮生避難所</t>
  </si>
  <si>
    <t>https://maps.app.goo.gl/4x5SXtMxpoQkecCJ6</t>
  </si>
  <si>
    <t>這間咖啡</t>
  </si>
  <si>
    <t>https://maps.app.goo.gl/ozGLyvgGxPxLhgbb8</t>
  </si>
  <si>
    <t>學校咖啡館 Ecole Cafe</t>
  </si>
  <si>
    <t>https://maps.app.goo.gl/iKyiyWTL2bf3Zu8E8</t>
  </si>
  <si>
    <t>喜鵲咖啡</t>
  </si>
  <si>
    <t>https://maps.app.goo.gl/azNtPN4MKv2YtXhZ8</t>
  </si>
  <si>
    <t>野餐咖啡 Picnic cafe</t>
  </si>
  <si>
    <t>https://maps.app.goo.gl/zYThGqYrsaCrmyfu5</t>
  </si>
  <si>
    <t>羊跳蚤</t>
  </si>
  <si>
    <t>https://maps.app.goo.gl/PQ9TigYy348rcZrS7</t>
  </si>
  <si>
    <t>半路咖啡 Halfway Cafe</t>
  </si>
  <si>
    <t>https://maps.app.goo.gl/isYAVxHjXVDc2f3B9</t>
  </si>
  <si>
    <t>a.se CAFE</t>
  </si>
  <si>
    <t>https://maps.app.goo.gl/piVKxhRZmMBumXxNA</t>
  </si>
  <si>
    <t>Rebirth</t>
  </si>
  <si>
    <t>https://maps.app.goo.gl/5byyP3sevMRaSCYa8</t>
  </si>
  <si>
    <t>春日好日</t>
  </si>
  <si>
    <t>https://maps.app.goo.gl/R27rhbMQHiMiszj7A</t>
  </si>
  <si>
    <t>Congrats Café</t>
  </si>
  <si>
    <t>有限時：平日不限時，假日限時2.5小時</t>
  </si>
  <si>
    <t>https://maps.app.goo.gl/5UgfycWzZPvc93Ky9</t>
  </si>
  <si>
    <t>區域</t>
  </si>
  <si>
    <t>新店區</t>
  </si>
  <si>
    <t>文山區</t>
  </si>
  <si>
    <t>大安區</t>
  </si>
  <si>
    <t>☕ 新店・文山・大安咖啡廳推薦系統</t>
  </si>
  <si>
    <t>飲料均價範圍：</t>
  </si>
  <si>
    <t>← 請從下拉選單選擇條件</t>
  </si>
  <si>
    <t>通勤時間範圍：</t>
  </si>
  <si>
    <t>限時偏好：</t>
  </si>
  <si>
    <t>📋 推薦結果（依 Google 評分由高到低排序）</t>
  </si>
  <si>
    <t>排名</t>
  </si>
  <si>
    <t>Google星級</t>
  </si>
  <si>
    <t>📊 各區咖啡廳概況</t>
  </si>
  <si>
    <t>咖啡廳數量</t>
  </si>
  <si>
    <t>平均評分</t>
  </si>
  <si>
    <t>平均飲料均價</t>
  </si>
  <si>
    <t>最高評分</t>
  </si>
  <si>
    <t>最低評分</t>
  </si>
  <si>
    <t>總計</t>
  </si>
  <si>
    <t>💰 價格區間分佈</t>
  </si>
  <si>
    <t>價格區間</t>
  </si>
  <si>
    <t>數量</t>
  </si>
  <si>
    <t>佔比</t>
  </si>
  <si>
    <t>120元以下</t>
  </si>
  <si>
    <t>121-150元</t>
  </si>
  <si>
    <t>151-180元</t>
  </si>
  <si>
    <t>181元以上</t>
  </si>
  <si>
    <t>⭐ 評分區間分佈</t>
  </si>
  <si>
    <t>評分區間</t>
  </si>
  <si>
    <t>4.0以下</t>
  </si>
  <si>
    <t>4.0 - 4.3</t>
  </si>
  <si>
    <t>4.4 - 4.6</t>
  </si>
  <si>
    <t>4.7 - 4.9</t>
  </si>
  <si>
    <t>5.0</t>
  </si>
  <si>
    <t>⏰ 限時/不限時分佈</t>
  </si>
  <si>
    <t>類型</t>
  </si>
  <si>
    <t>有限時</t>
  </si>
  <si>
    <t>🔍 進階分析（多函數綜合應用）</t>
  </si>
  <si>
    <t>分析項目</t>
  </si>
  <si>
    <t>結果</t>
  </si>
  <si>
    <t>使用函數</t>
  </si>
  <si>
    <t>高CP值咖啡廳（評分≥4.5 且 均價≤150）</t>
  </si>
  <si>
    <t>COUNTIFS</t>
  </si>
  <si>
    <t>不限時且評分最高的咖啡廳</t>
  </si>
  <si>
    <t>INDEX + MATCH + MAX + IF</t>
  </si>
  <si>
    <t>文山區最便宜咖啡廳</t>
  </si>
  <si>
    <t>INDEX + MATCH + MIN + IF</t>
  </si>
  <si>
    <t>所有區域平均通勤時間</t>
  </si>
  <si>
    <t>ROUND + AVERAGE</t>
  </si>
  <si>
    <t>15分鐘內可到達的咖啡廳數</t>
  </si>
  <si>
    <t>COUNTIF</t>
  </si>
  <si>
    <t>大安區不限時咖啡廳數</t>
  </si>
  <si>
    <t>COUNTIFS (多條件)</t>
  </si>
  <si>
    <t>評分前三名平均價格</t>
  </si>
  <si>
    <t>AVERAGEIF + LARGE</t>
  </si>
  <si>
    <t>有甜食又有鹹食的咖啡廳數</t>
  </si>
  <si>
    <t>評分標準差（評分一致性）</t>
  </si>
  <si>
    <t>STDEV + ROUND</t>
  </si>
  <si>
    <t>評分中位數</t>
  </si>
  <si>
    <t>MEDIAN</t>
  </si>
  <si>
    <t>不拘</t>
    <phoneticPr fontId="9" type="noConversion"/>
  </si>
  <si>
    <t>150-200元</t>
  </si>
  <si>
    <t>Local Local Coffee</t>
    <phoneticPr fontId="9" type="noConversion"/>
  </si>
  <si>
    <t>區域偏好：</t>
    <phoneticPr fontId="9" type="noConversion"/>
  </si>
  <si>
    <t>搜尋統計摘要</t>
  </si>
  <si>
    <t>符合條件：</t>
  </si>
  <si>
    <t>平均評分：</t>
  </si>
  <si>
    <t>最高評分：</t>
  </si>
  <si>
    <t>最低評分：</t>
  </si>
  <si>
    <t>選擇咖啡廳：</t>
    <phoneticPr fontId="9" type="noConversion"/>
  </si>
  <si>
    <t>Google 星級</t>
  </si>
  <si>
    <t>Google Maps</t>
  </si>
  <si>
    <t>區域</t>
    <phoneticPr fontId="9" type="noConversion"/>
  </si>
  <si>
    <r>
      <rPr>
        <sz val="18"/>
        <rFont val="Segoe UI Emoji"/>
        <family val="2"/>
      </rPr>
      <t>🔍</t>
    </r>
    <r>
      <rPr>
        <sz val="18"/>
        <rFont val="Consolas"/>
        <family val="3"/>
      </rPr>
      <t xml:space="preserve"> </t>
    </r>
    <r>
      <rPr>
        <sz val="18"/>
        <rFont val="微軟正黑體"/>
        <family val="2"/>
        <charset val="136"/>
      </rPr>
      <t>單店詳細查詢</t>
    </r>
    <phoneticPr fontId="9" type="noConversion"/>
  </si>
  <si>
    <t>15-30分鐘</t>
  </si>
  <si>
    <t>4 間</t>
  </si>
  <si>
    <t>📖 使用方式</t>
  </si>
  <si>
    <t>1. 切到「儀表板」工作表</t>
  </si>
  <si>
    <t>2. 從下拉選單設定篩選條件（飲料均價 / 通勤時間 / 限時偏好 / 區域）</t>
  </si>
  <si>
    <t>3. 點擊「🔍 搜尋推薦咖啡廳」按鈕</t>
  </si>
  <si>
    <t>4. 查看推薦結果（依 Google 評分排序，咖啡廳名稱可點擊開啟 Google Maps）</t>
  </si>
  <si>
    <t>5. 單店查詢：在儀表板下方的下拉選單選擇任一間咖啡廳，即可查看完整資訊</t>
  </si>
  <si>
    <t>⚠️ 注意事項</t>
  </si>
  <si>
    <t>• 開啟檔案時請點「啟用內容」以啟用巨集功能，否則按鈕無法使用</t>
  </si>
  <si>
    <t>📊 工作表說明</t>
  </si>
  <si>
    <t>• 新店區 / 文山區 / 大安區：各區咖啡廳原始資料</t>
  </si>
  <si>
    <t>• 全部資料：三區合併資料庫</t>
  </si>
  <si>
    <t>• 儀表板：主操作介面（篩選 + 推薦結果 + 圖表）</t>
  </si>
  <si>
    <t>• 統計分析：各區統計數據 + 進階函數分析 + 圖表</t>
  </si>
  <si>
    <t>🔧 技術應用</t>
  </si>
  <si>
    <t>• VBA：自動化篩選、排序、超連結、條件式格式化、動態圖表</t>
  </si>
  <si>
    <t>• 查表：VLOOKUP 跨表帶出咖啡廳詳細資訊（推薦名單 + 單店查詢）</t>
  </si>
  <si>
    <t>• 函數：COUNTIF / AVERAGEIF / INDEX+MATCH / LARGE / STDEV / MEDIAN 等</t>
  </si>
  <si>
    <t>• 繪圖：星級長條圖、圓餅圖、散佈圖（CP 值分析）</t>
  </si>
  <si>
    <r>
      <t xml:space="preserve">• </t>
    </r>
    <r>
      <rPr>
        <sz val="11"/>
        <color theme="1"/>
        <rFont val="微軟正黑體"/>
        <family val="2"/>
        <charset val="136"/>
      </rPr>
      <t>星級顏色標示：</t>
    </r>
    <r>
      <rPr>
        <sz val="11"/>
        <color theme="1"/>
        <rFont val="Microsoft JhengHei"/>
        <family val="2"/>
      </rPr>
      <t xml:space="preserve">綠色 </t>
    </r>
    <r>
      <rPr>
        <sz val="11"/>
        <color theme="1"/>
        <rFont val="Consolas"/>
        <family val="3"/>
      </rPr>
      <t>4.7</t>
    </r>
    <r>
      <rPr>
        <sz val="11"/>
        <color theme="1"/>
        <rFont val="微軟正黑體"/>
        <family val="2"/>
        <charset val="136"/>
      </rPr>
      <t>以上（極佳）</t>
    </r>
    <r>
      <rPr>
        <sz val="11"/>
        <color theme="1"/>
        <rFont val="Microsoft JhengHei"/>
        <family val="2"/>
      </rPr>
      <t xml:space="preserve">黃色 </t>
    </r>
    <r>
      <rPr>
        <sz val="11"/>
        <color theme="1"/>
        <rFont val="Consolas"/>
        <family val="3"/>
      </rPr>
      <t>4.4~4.6</t>
    </r>
    <r>
      <rPr>
        <sz val="11"/>
        <color theme="1"/>
        <rFont val="微軟正黑體"/>
        <family val="2"/>
        <charset val="136"/>
      </rPr>
      <t>（優良）</t>
    </r>
    <r>
      <rPr>
        <sz val="11"/>
        <color theme="1"/>
        <rFont val="Microsoft JhengHei"/>
        <family val="2"/>
      </rPr>
      <t xml:space="preserve">紅色 </t>
    </r>
    <r>
      <rPr>
        <sz val="11"/>
        <color theme="1"/>
        <rFont val="Consolas"/>
        <family val="3"/>
      </rPr>
      <t>4.3</t>
    </r>
    <r>
      <rPr>
        <sz val="11"/>
        <color theme="1"/>
        <rFont val="微軟正黑體"/>
        <family val="2"/>
        <charset val="136"/>
      </rPr>
      <t>以下（普通）</t>
    </r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</si>
</sst>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>
    <font>
      <sz val="11"/>
      <color theme="1"/>
      <name val="新細明體"/>
      <family val="2"/>
      <scheme val="minor"/>
    </font>
    <font>
      <b/>
      <sz val="11"/>
      <color rgb="FFFFFFFF"/>
      <name val="微軟正黑體"/>
      <family val="2"/>
      <charset val="136"/>
    </font>
    <font>
      <sz val="11"/>
      <name val="微軟正黑體"/>
      <family val="2"/>
      <charset val="136"/>
    </font>
    <font>
      <b/>
      <sz val="20"/>
      <color rgb="FFFFFFFF"/>
      <name val="微軟正黑體"/>
      <family val="2"/>
      <charset val="136"/>
    </font>
    <font>
      <i/>
      <sz val="11"/>
      <color rgb="FF666666"/>
      <name val="微軟正黑體"/>
      <family val="2"/>
      <charset val="136"/>
    </font>
    <font>
      <b/>
      <sz val="11"/>
      <name val="微軟正黑體"/>
      <family val="2"/>
      <charset val="136"/>
    </font>
    <font>
      <sz val="9"/>
      <color rgb="FF888888"/>
      <name val="微軟正黑體"/>
      <family val="2"/>
      <charset val="136"/>
    </font>
    <font>
      <b/>
      <sz val="13"/>
      <color rgb="FFFFFFFF"/>
      <name val="微軟正黑體"/>
      <family val="2"/>
      <charset val="136"/>
    </font>
    <font>
      <b/>
      <sz val="14"/>
      <color rgb="FF2F75B5"/>
      <name val="微軟正黑體"/>
      <family val="2"/>
      <charset val="136"/>
    </font>
    <font>
      <sz val="9"/>
      <name val="新細明體"/>
      <family val="3"/>
      <charset val="136"/>
      <scheme val="minor"/>
    </font>
    <font>
      <u/>
      <sz val="11"/>
      <color theme="10"/>
      <name val="新細明體"/>
      <family val="2"/>
      <scheme val="minor"/>
    </font>
    <font>
      <sz val="11"/>
      <name val="Microsoft JhengHei Light"/>
      <family val="2"/>
      <charset val="136"/>
    </font>
    <font>
      <sz val="11"/>
      <color theme="1"/>
      <name val="微軟正黑體"/>
      <family val="2"/>
      <charset val="136"/>
    </font>
    <font>
      <b/>
      <sz val="12"/>
      <color theme="1"/>
      <name val="新細明體"/>
      <family val="1"/>
      <charset val="136"/>
      <scheme val="minor"/>
    </font>
    <font>
      <b/>
      <sz val="11"/>
      <color theme="1"/>
      <name val="微軟正黑體"/>
      <family val="2"/>
      <charset val="136"/>
    </font>
    <font>
      <sz val="16"/>
      <color theme="1"/>
      <name val="新細明體"/>
      <family val="2"/>
      <scheme val="minor"/>
    </font>
    <font>
      <sz val="20"/>
      <color theme="1"/>
      <name val="新細明體"/>
      <family val="2"/>
      <scheme val="minor"/>
    </font>
    <font>
      <sz val="18"/>
      <name val="Consolas"/>
      <family val="3"/>
    </font>
    <font>
      <sz val="16"/>
      <color theme="1"/>
      <name val="新細明體"/>
      <family val="1"/>
      <charset val="136"/>
      <scheme val="minor"/>
    </font>
    <font>
      <sz val="14"/>
      <name val="新細明體"/>
      <family val="2"/>
      <scheme val="minor"/>
    </font>
    <font>
      <sz val="14"/>
      <name val="Consolas"/>
      <family val="3"/>
    </font>
    <font>
      <sz val="18"/>
      <name val="Segoe UI Emoji"/>
      <family val="2"/>
    </font>
    <font>
      <sz val="18"/>
      <name val="微軟正黑體"/>
      <family val="2"/>
      <charset val="136"/>
    </font>
    <font>
      <sz val="18"/>
      <name val="Consolas"/>
      <family val="2"/>
    </font>
    <font>
      <sz val="11"/>
      <color theme="1"/>
      <name val="Consolas"/>
      <family val="3"/>
    </font>
    <font>
      <sz val="11"/>
      <color theme="1"/>
      <name val="Segoe UI"/>
      <family val="2"/>
    </font>
    <font>
      <b/>
      <sz val="12"/>
      <color theme="1"/>
      <name val="Consolas"/>
      <family val="3"/>
    </font>
    <font>
      <b/>
      <sz val="14"/>
      <color theme="1"/>
      <name val="Consolas"/>
      <family val="3"/>
    </font>
    <font>
      <sz val="11"/>
      <color theme="1"/>
      <name val="Microsoft JhengHei"/>
      <family val="2"/>
    </font>
  </fonts>
  <fills count="13">
    <fill>
      <patternFill patternType="none"/>
    </fill>
    <fill>
      <patternFill patternType="gray125"/>
    </fill>
    <fill>
      <patternFill patternType="solid">
        <fgColor rgb="FF5B9BD5"/>
      </patternFill>
    </fill>
    <fill>
      <patternFill patternType="solid">
        <fgColor rgb="FFF2F2F2"/>
      </patternFill>
    </fill>
    <fill>
      <patternFill patternType="solid">
        <fgColor rgb="FF4472C4"/>
      </patternFill>
    </fill>
    <fill>
      <patternFill patternType="solid">
        <fgColor rgb="FFE2EFDA"/>
      </patternFill>
    </fill>
    <fill>
      <patternFill patternType="solid">
        <fgColor rgb="FF2F75B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39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left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6" fillId="0" borderId="0" xfId="0" applyFont="1"/>
    <xf numFmtId="0" fontId="1" fillId="6" borderId="1" xfId="0" applyFont="1" applyFill="1" applyBorder="1" applyAlignment="1">
      <alignment horizontal="center" vertical="center"/>
    </xf>
    <xf numFmtId="0" fontId="8" fillId="0" borderId="0" xfId="0" applyFont="1"/>
    <xf numFmtId="0" fontId="7" fillId="4" borderId="0" xfId="0" applyFont="1" applyFill="1" applyAlignment="1">
      <alignment horizontal="center" vertical="center"/>
    </xf>
    <xf numFmtId="0" fontId="0" fillId="0" borderId="0" xfId="0"/>
    <xf numFmtId="0" fontId="5" fillId="0" borderId="0" xfId="0" applyFont="1" applyAlignment="1">
      <alignment horizontal="right" vertical="center"/>
    </xf>
    <xf numFmtId="0" fontId="3" fillId="4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12" fillId="8" borderId="1" xfId="0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 vertical="center"/>
    </xf>
    <xf numFmtId="0" fontId="12" fillId="8" borderId="1" xfId="0" applyFont="1" applyFill="1" applyBorder="1"/>
    <xf numFmtId="0" fontId="10" fillId="0" borderId="1" xfId="1" applyBorder="1" applyAlignment="1">
      <alignment horizontal="left" vertical="center"/>
    </xf>
    <xf numFmtId="0" fontId="10" fillId="7" borderId="1" xfId="1" applyFill="1" applyBorder="1" applyAlignment="1">
      <alignment horizontal="left" vertical="center"/>
    </xf>
    <xf numFmtId="0" fontId="13" fillId="0" borderId="0" xfId="0" applyFont="1"/>
    <xf numFmtId="0" fontId="12" fillId="0" borderId="0" xfId="0" applyFont="1"/>
    <xf numFmtId="0" fontId="14" fillId="0" borderId="0" xfId="0" applyFont="1"/>
    <xf numFmtId="0" fontId="16" fillId="0" borderId="0" xfId="0" applyFont="1"/>
    <xf numFmtId="0" fontId="0" fillId="0" borderId="0" xfId="0" applyBorder="1"/>
    <xf numFmtId="0" fontId="20" fillId="9" borderId="1" xfId="0" applyFont="1" applyFill="1" applyBorder="1" applyAlignment="1">
      <alignment horizontal="center" vertical="center" wrapText="1"/>
    </xf>
    <xf numFmtId="0" fontId="19" fillId="9" borderId="1" xfId="0" applyFont="1" applyFill="1" applyBorder="1" applyAlignment="1">
      <alignment horizontal="center"/>
    </xf>
    <xf numFmtId="0" fontId="15" fillId="10" borderId="1" xfId="0" applyFont="1" applyFill="1" applyBorder="1" applyAlignment="1">
      <alignment horizontal="center"/>
    </xf>
    <xf numFmtId="0" fontId="18" fillId="10" borderId="1" xfId="0" applyFont="1" applyFill="1" applyBorder="1" applyAlignment="1">
      <alignment horizontal="center"/>
    </xf>
    <xf numFmtId="0" fontId="0" fillId="0" borderId="0" xfId="0" applyFont="1" applyFill="1"/>
    <xf numFmtId="0" fontId="24" fillId="0" borderId="0" xfId="0" applyFont="1" applyFill="1"/>
    <xf numFmtId="0" fontId="24" fillId="0" borderId="0" xfId="0" applyFont="1" applyFill="1" applyAlignment="1">
      <alignment vertical="center" wrapText="1"/>
    </xf>
    <xf numFmtId="0" fontId="25" fillId="0" borderId="0" xfId="0" applyFont="1" applyFill="1" applyAlignment="1">
      <alignment vertical="center" wrapText="1"/>
    </xf>
    <xf numFmtId="0" fontId="26" fillId="12" borderId="0" xfId="0" applyFont="1" applyFill="1" applyAlignment="1">
      <alignment vertical="center" wrapText="1"/>
    </xf>
    <xf numFmtId="0" fontId="26" fillId="12" borderId="0" xfId="0" applyFont="1" applyFill="1"/>
    <xf numFmtId="0" fontId="27" fillId="10" borderId="0" xfId="0" applyFont="1" applyFill="1"/>
    <xf numFmtId="0" fontId="23" fillId="11" borderId="1" xfId="0" applyFont="1" applyFill="1" applyBorder="1" applyAlignment="1">
      <alignment horizontal="center"/>
    </xf>
  </cellXfs>
  <cellStyles count="2">
    <cellStyle name="一般" xfId="0" builtinId="0"/>
    <cellStyle name="超連結" xfId="1" builtinId="8"/>
  </cellStyles>
  <dxfs count="15">
    <dxf>
      <font>
        <b/>
        <i val="0"/>
        <color rgb="FF9C3800"/>
      </font>
      <fill>
        <patternFill>
          <bgColor rgb="FFFFC78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3800"/>
      </font>
      <fill>
        <patternFill>
          <bgColor rgb="FFFFC78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3800"/>
      </font>
      <fill>
        <patternFill>
          <bgColor rgb="FFFFC78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3800"/>
      </font>
      <fill>
        <patternFill>
          <bgColor rgb="FFFFC78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3800"/>
      </font>
      <fill>
        <patternFill>
          <bgColor rgb="FFFFC78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b/>
        <i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 altLang="en-US"/>
              <a:t>推薦咖啡廳 </a:t>
            </a:r>
            <a:r>
              <a:rPr lang="en-US" altLang="zh-TW"/>
              <a:t>Google </a:t>
            </a:r>
            <a:r>
              <a:rPr lang="zh-TW" altLang="en-US"/>
              <a:t>星級比較（前 </a:t>
            </a:r>
            <a:r>
              <a:rPr lang="en-US" altLang="zh-TW"/>
              <a:t>4 </a:t>
            </a:r>
            <a:r>
              <a:rPr lang="zh-TW" altLang="en-US"/>
              <a:t>名）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>
        <c:manualLayout>
          <c:layoutTarget val="inner"/>
          <c:xMode val="edge"/>
          <c:yMode val="edge"/>
          <c:x val="7.6067708333333331E-2"/>
          <c:y val="0.1248630887185104"/>
          <c:w val="0.87598161155877419"/>
          <c:h val="0.73464810706711192"/>
        </c:manualLayout>
      </c:layout>
      <c:barChart>
        <c:barDir val="col"/>
        <c:grouping val="clustered"/>
        <c:varyColors val="1"/>
        <c:ser>
          <c:idx val="0"/>
          <c:order val="0"/>
          <c:tx>
            <c:v>Google 星級</c:v>
          </c:tx>
          <c:invertIfNegative val="1"/>
          <c:dPt>
            <c:idx val="0"/>
            <c:invertIfNegative val="1"/>
            <c:bubble3D val="0"/>
            <c:spPr>
              <a:gradFill flip="none" rotWithShape="1">
                <a:gsLst>
                  <a:gs pos="0">
                    <a:schemeClr val="accent1"/>
                  </a:gs>
                  <a:gs pos="75000">
                    <a:schemeClr val="accent1">
                      <a:lumMod val="60000"/>
                      <a:lumOff val="40000"/>
                    </a:schemeClr>
                  </a:gs>
                  <a:gs pos="51000">
                    <a:schemeClr val="accent1">
                      <a:alpha val="75000"/>
                    </a:schemeClr>
                  </a:gs>
                  <a:gs pos="100000">
                    <a:schemeClr val="accent1">
                      <a:lumMod val="20000"/>
                      <a:lumOff val="80000"/>
                      <a:alpha val="15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</c:dPt>
          <c:dPt>
            <c:idx val="1"/>
            <c:invertIfNegative val="1"/>
            <c:bubble3D val="0"/>
            <c:spPr>
              <a:gradFill flip="none" rotWithShape="1">
                <a:gsLst>
                  <a:gs pos="0">
                    <a:schemeClr val="accent2"/>
                  </a:gs>
                  <a:gs pos="75000">
                    <a:schemeClr val="accent2">
                      <a:lumMod val="60000"/>
                      <a:lumOff val="40000"/>
                    </a:schemeClr>
                  </a:gs>
                  <a:gs pos="51000">
                    <a:schemeClr val="accent2">
                      <a:alpha val="75000"/>
                    </a:schemeClr>
                  </a:gs>
                  <a:gs pos="100000">
                    <a:schemeClr val="accent2">
                      <a:lumMod val="20000"/>
                      <a:lumOff val="80000"/>
                      <a:alpha val="15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</c:dPt>
          <c:dPt>
            <c:idx val="2"/>
            <c:invertIfNegative val="1"/>
            <c:bubble3D val="0"/>
            <c:spPr>
              <a:gradFill flip="none" rotWithShape="1">
                <a:gsLst>
                  <a:gs pos="0">
                    <a:schemeClr val="accent3"/>
                  </a:gs>
                  <a:gs pos="75000">
                    <a:schemeClr val="accent3">
                      <a:lumMod val="60000"/>
                      <a:lumOff val="40000"/>
                    </a:schemeClr>
                  </a:gs>
                  <a:gs pos="51000">
                    <a:schemeClr val="accent3">
                      <a:alpha val="75000"/>
                    </a:schemeClr>
                  </a:gs>
                  <a:gs pos="100000">
                    <a:schemeClr val="accent3">
                      <a:lumMod val="20000"/>
                      <a:lumOff val="80000"/>
                      <a:alpha val="15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</c:dPt>
          <c:dPt>
            <c:idx val="3"/>
            <c:invertIfNegative val="1"/>
            <c:bubble3D val="0"/>
            <c:spPr>
              <a:gradFill flip="none" rotWithShape="1">
                <a:gsLst>
                  <a:gs pos="0">
                    <a:schemeClr val="accent4"/>
                  </a:gs>
                  <a:gs pos="75000">
                    <a:schemeClr val="accent4">
                      <a:lumMod val="60000"/>
                      <a:lumOff val="40000"/>
                    </a:schemeClr>
                  </a:gs>
                  <a:gs pos="51000">
                    <a:schemeClr val="accent4">
                      <a:alpha val="75000"/>
                    </a:schemeClr>
                  </a:gs>
                  <a:gs pos="100000">
                    <a:schemeClr val="accent4">
                      <a:lumMod val="20000"/>
                      <a:lumOff val="80000"/>
                      <a:alpha val="15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</c:dPt>
          <c:cat>
            <c:strRef>
              <c:f>儀表板!$C$11:$C$14</c:f>
              <c:strCache>
                <c:ptCount val="4"/>
                <c:pt idx="0">
                  <c:v>草豆子手沖咖啡</c:v>
                </c:pt>
                <c:pt idx="1">
                  <c:v>咖啡喫茶 枝音</c:v>
                </c:pt>
                <c:pt idx="2">
                  <c:v>金福咖啡 JinfuCoffee</c:v>
                </c:pt>
                <c:pt idx="3">
                  <c:v>河童家 かっぱや</c:v>
                </c:pt>
              </c:strCache>
            </c:strRef>
          </c:cat>
          <c:val>
            <c:numRef>
              <c:f>儀表板!$I$11:$I$14</c:f>
              <c:numCache>
                <c:formatCode>General</c:formatCode>
                <c:ptCount val="4"/>
                <c:pt idx="0">
                  <c:v>4.8</c:v>
                </c:pt>
                <c:pt idx="1">
                  <c:v>4.8</c:v>
                </c:pt>
                <c:pt idx="2">
                  <c:v>4.5</c:v>
                </c:pt>
                <c:pt idx="3">
                  <c:v>4.2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51-4DE9-A3E2-70C129B9C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10"/>
        <c:axId val="100"/>
      </c:barChart>
      <c:catAx>
        <c:axId val="1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TW" sz="1600"/>
                  <a:t>咖啡廳</a:t>
                </a:r>
              </a:p>
            </c:rich>
          </c:tx>
          <c:layout>
            <c:manualLayout>
              <c:xMode val="edge"/>
              <c:yMode val="edge"/>
              <c:x val="0.45833935818437338"/>
              <c:y val="0.90218672099210251"/>
            </c:manualLayout>
          </c:layout>
          <c:overlay val="1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  <c:max val="5"/>
          <c:min val="3.5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Google </a:t>
                </a:r>
                <a:r>
                  <a:rPr lang="zh-TW" sz="1400"/>
                  <a:t>星級</a:t>
                </a:r>
              </a:p>
            </c:rich>
          </c:tx>
          <c:overlay val="1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6362639868276752"/>
          <c:y val="0.95516468208248173"/>
          <c:w val="0.67555726322667309"/>
          <c:h val="4.483531791751830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/>
              <a:t>各區咖啡廳數量分佈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統計分析!$C$3</c:f>
              <c:strCache>
                <c:ptCount val="1"/>
                <c:pt idx="0">
                  <c:v>咖啡廳數量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976E-4D6A-A29E-4C6D3686462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76E-4D6A-A29E-4C6D3686462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976E-4D6A-A29E-4C6D3686462C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571C6A84-3CDE-4A1D-B4D9-023C6E57924F}" type="SERIESNAME">
                      <a:rPr lang="zh-TW" altLang="en-US"/>
                      <a:pPr>
                        <a:defRPr sz="1200"/>
                      </a:pPr>
                      <a:t>[數列名稱]</a:t>
                    </a:fld>
                    <a:r>
                      <a:rPr lang="en-US" altLang="zh-TW" baseline="0"/>
                      <a:t>, </a:t>
                    </a:r>
                    <a:br>
                      <a:rPr lang="en-US" altLang="zh-TW" baseline="0"/>
                    </a:br>
                    <a:fld id="{EF1FFF45-13A5-425C-AB0D-1A38F09196F1}" type="CATEGORYNAME">
                      <a:rPr lang="zh-TW" altLang="en-US" baseline="0"/>
                      <a:pPr>
                        <a:defRPr sz="1200"/>
                      </a:pPr>
                      <a:t>[類別名稱]</a:t>
                    </a:fld>
                    <a:r>
                      <a:rPr lang="en-US" altLang="zh-TW" baseline="0"/>
                      <a:t>, </a:t>
                    </a:r>
                    <a:fld id="{75AD63A0-ECB8-45DA-A7DA-6EF7B9654CAE}" type="VALUE">
                      <a:rPr lang="en-US" altLang="zh-TW" baseline="0"/>
                      <a:pPr>
                        <a:defRPr sz="1200"/>
                      </a:pPr>
                      <a:t>[值]</a:t>
                    </a:fld>
                    <a:r>
                      <a:rPr lang="en-US" altLang="zh-TW" baseline="0"/>
                      <a:t>, </a:t>
                    </a:r>
                    <a:fld id="{F5C8D2DE-21E1-47E3-9F58-7A4ADA7B4560}" type="PERCENTAGE">
                      <a:rPr lang="en-US" altLang="zh-TW" baseline="0"/>
                      <a:pPr>
                        <a:defRPr sz="1200"/>
                      </a:pPr>
                      <a:t>[百分比]</a:t>
                    </a:fld>
                    <a:endParaRPr lang="en-US" altLang="zh-TW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TW"/>
                </a:p>
              </c:txPr>
              <c:dLblPos val="outEnd"/>
              <c:showLegendKey val="1"/>
              <c:showVal val="1"/>
              <c:showCatName val="1"/>
              <c:showSerName val="1"/>
              <c:showPercent val="1"/>
              <c:showBubbleSize val="1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976E-4D6A-A29E-4C6D3686462C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2E2005C9-59AA-4E65-A97A-3AD2B3E46F3F}" type="SERIESNAME">
                      <a:rPr lang="zh-TW" altLang="en-US"/>
                      <a:pPr>
                        <a:defRPr sz="1200"/>
                      </a:pPr>
                      <a:t>[數列名稱]</a:t>
                    </a:fld>
                    <a:r>
                      <a:rPr lang="en-US" altLang="zh-TW" baseline="0"/>
                      <a:t>, </a:t>
                    </a:r>
                    <a:br>
                      <a:rPr lang="en-US" altLang="zh-TW" baseline="0"/>
                    </a:br>
                    <a:fld id="{56334E7B-70D4-4563-AB28-D2CF0897C8A3}" type="CATEGORYNAME">
                      <a:rPr lang="zh-TW" altLang="en-US" baseline="0"/>
                      <a:pPr>
                        <a:defRPr sz="1200"/>
                      </a:pPr>
                      <a:t>[類別名稱]</a:t>
                    </a:fld>
                    <a:r>
                      <a:rPr lang="en-US" altLang="zh-TW" baseline="0"/>
                      <a:t>, </a:t>
                    </a:r>
                    <a:fld id="{C024D47E-6599-48F6-9BB0-8A19B3D3CD4E}" type="VALUE">
                      <a:rPr lang="en-US" altLang="zh-TW" baseline="0"/>
                      <a:pPr>
                        <a:defRPr sz="1200"/>
                      </a:pPr>
                      <a:t>[值]</a:t>
                    </a:fld>
                    <a:r>
                      <a:rPr lang="en-US" altLang="zh-TW" baseline="0"/>
                      <a:t>, </a:t>
                    </a:r>
                    <a:fld id="{5C6635C7-1EC1-4CDD-91AE-4663E7E0A037}" type="PERCENTAGE">
                      <a:rPr lang="en-US" altLang="zh-TW" baseline="0"/>
                      <a:pPr>
                        <a:defRPr sz="1200"/>
                      </a:pPr>
                      <a:t>[百分比]</a:t>
                    </a:fld>
                    <a:endParaRPr lang="en-US" altLang="zh-TW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TW"/>
                </a:p>
              </c:txPr>
              <c:dLblPos val="outEnd"/>
              <c:showLegendKey val="1"/>
              <c:showVal val="1"/>
              <c:showCatName val="1"/>
              <c:showSerName val="1"/>
              <c:showPercent val="1"/>
              <c:showBubbleSize val="1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976E-4D6A-A29E-4C6D3686462C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F608C6A4-54D1-4143-9A0F-F8D6829B3DD5}" type="SERIESNAME">
                      <a:rPr lang="zh-TW" altLang="en-US"/>
                      <a:pPr>
                        <a:defRPr sz="1200"/>
                      </a:pPr>
                      <a:t>[數列名稱]</a:t>
                    </a:fld>
                    <a:r>
                      <a:rPr lang="en-US" altLang="zh-TW" baseline="0"/>
                      <a:t>, </a:t>
                    </a:r>
                    <a:br>
                      <a:rPr lang="en-US" altLang="zh-TW" baseline="0"/>
                    </a:br>
                    <a:fld id="{A603765D-E65F-497D-9579-BC63BAC3E4BB}" type="CATEGORYNAME">
                      <a:rPr lang="zh-TW" altLang="en-US" baseline="0"/>
                      <a:pPr>
                        <a:defRPr sz="1200"/>
                      </a:pPr>
                      <a:t>[類別名稱]</a:t>
                    </a:fld>
                    <a:r>
                      <a:rPr lang="en-US" altLang="zh-TW" baseline="0"/>
                      <a:t>, </a:t>
                    </a:r>
                    <a:fld id="{6B8BBF54-0161-4C76-AD08-75CCFD65B685}" type="VALUE">
                      <a:rPr lang="en-US" altLang="zh-TW" baseline="0"/>
                      <a:pPr>
                        <a:defRPr sz="1200"/>
                      </a:pPr>
                      <a:t>[值]</a:t>
                    </a:fld>
                    <a:r>
                      <a:rPr lang="en-US" altLang="zh-TW" baseline="0"/>
                      <a:t>, </a:t>
                    </a:r>
                    <a:fld id="{51C469FD-74AB-4CFC-BF69-88CE5A0CDB68}" type="PERCENTAGE">
                      <a:rPr lang="en-US" altLang="zh-TW" baseline="0"/>
                      <a:pPr>
                        <a:defRPr sz="1200"/>
                      </a:pPr>
                      <a:t>[百分比]</a:t>
                    </a:fld>
                    <a:endParaRPr lang="en-US" altLang="zh-TW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TW"/>
                </a:p>
              </c:txPr>
              <c:dLblPos val="outEnd"/>
              <c:showLegendKey val="1"/>
              <c:showVal val="1"/>
              <c:showCatName val="1"/>
              <c:showSerName val="1"/>
              <c:showPercent val="1"/>
              <c:showBubbleSize val="1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976E-4D6A-A29E-4C6D3686462C}"/>
                </c:ext>
              </c:extLst>
            </c:dLbl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dLblPos val="outEnd"/>
            <c:showLegendKey val="1"/>
            <c:showVal val="1"/>
            <c:showCatName val="1"/>
            <c:showSerName val="1"/>
            <c:showPercent val="1"/>
            <c:showBubbleSize val="1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統計分析!$B$4:$B$6</c:f>
              <c:strCache>
                <c:ptCount val="3"/>
                <c:pt idx="0">
                  <c:v>新店區</c:v>
                </c:pt>
                <c:pt idx="1">
                  <c:v>文山區</c:v>
                </c:pt>
                <c:pt idx="2">
                  <c:v>大安區</c:v>
                </c:pt>
              </c:strCache>
            </c:strRef>
          </c:cat>
          <c:val>
            <c:numRef>
              <c:f>統計分析!$C$4:$C$6</c:f>
              <c:numCache>
                <c:formatCode>General</c:formatCode>
                <c:ptCount val="3"/>
                <c:pt idx="0">
                  <c:v>10</c:v>
                </c:pt>
                <c:pt idx="1">
                  <c:v>10</c:v>
                </c:pt>
                <c:pt idx="2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6E-4D6A-A29E-4C6D3686462C}"/>
            </c:ext>
          </c:extLst>
        </c:ser>
        <c:dLbls>
          <c:dLblPos val="outEnd"/>
          <c:showLegendKey val="1"/>
          <c:showVal val="1"/>
          <c:showCatName val="1"/>
          <c:showSerName val="1"/>
          <c:showPercent val="1"/>
          <c:showBubbleSize val="1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zh-TW"/>
              <a:t>各區平均 </a:t>
            </a:r>
            <a:r>
              <a:rPr lang="en-US"/>
              <a:t>Google </a:t>
            </a:r>
            <a:r>
              <a:rPr lang="zh-TW"/>
              <a:t>評分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>
        <c:manualLayout>
          <c:layoutTarget val="inner"/>
          <c:xMode val="edge"/>
          <c:yMode val="edge"/>
          <c:x val="0.11218163580246913"/>
          <c:y val="0.1411111111111111"/>
          <c:w val="0.86625972222222225"/>
          <c:h val="0.73187970085470089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統計分析!$D$3</c:f>
              <c:strCache>
                <c:ptCount val="1"/>
                <c:pt idx="0">
                  <c:v>平均評分</c:v>
                </c:pt>
              </c:strCache>
            </c:strRef>
          </c:tx>
          <c:invertIfNegative val="1"/>
          <c:dPt>
            <c:idx val="0"/>
            <c:invertIfNegative val="1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dPt>
          <c:dPt>
            <c:idx val="1"/>
            <c:invertIfNegative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dPt>
          <c:dPt>
            <c:idx val="2"/>
            <c:invertIfNegative val="1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dPt>
          <c:cat>
            <c:strRef>
              <c:f>統計分析!$B$4:$B$6</c:f>
              <c:strCache>
                <c:ptCount val="3"/>
                <c:pt idx="0">
                  <c:v>新店區</c:v>
                </c:pt>
                <c:pt idx="1">
                  <c:v>文山區</c:v>
                </c:pt>
                <c:pt idx="2">
                  <c:v>大安區</c:v>
                </c:pt>
              </c:strCache>
            </c:strRef>
          </c:cat>
          <c:val>
            <c:numRef>
              <c:f>統計分析!$D$4:$D$6</c:f>
              <c:numCache>
                <c:formatCode>General</c:formatCode>
                <c:ptCount val="3"/>
                <c:pt idx="0">
                  <c:v>4.62</c:v>
                </c:pt>
                <c:pt idx="1">
                  <c:v>4.63</c:v>
                </c:pt>
                <c:pt idx="2">
                  <c:v>4.45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A6-4923-9B5E-797C5A52C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0"/>
        <c:axId val="100"/>
      </c:barChart>
      <c:catAx>
        <c:axId val="1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  <c:max val="5"/>
          <c:min val="4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TW" sz="1200"/>
                  <a:t>平均評分</a:t>
                </a:r>
              </a:p>
            </c:rich>
          </c:tx>
          <c:layout>
            <c:manualLayout>
              <c:xMode val="edge"/>
              <c:yMode val="edge"/>
              <c:x val="1.4473611111111109E-2"/>
              <c:y val="0.43372735042735044"/>
            </c:manualLayout>
          </c:layout>
          <c:overlay val="1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6987253086419752"/>
          <c:y val="0.94335170940170943"/>
          <c:w val="0.40485432098765434"/>
          <c:h val="5.66482905982906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 altLang="en-US" sz="1800" b="1" i="0" u="none" strike="noStrike" baseline="0">
                <a:effectLst/>
              </a:rPr>
              <a:t>飲料均價 </a:t>
            </a:r>
            <a:r>
              <a:rPr lang="en-US" altLang="zh-TW" sz="1800" b="1" i="0" u="none" strike="noStrike" baseline="0">
                <a:effectLst/>
              </a:rPr>
              <a:t>vs Google </a:t>
            </a:r>
            <a:r>
              <a:rPr lang="zh-TW" altLang="en-US" sz="1800" b="1" i="0" u="none" strike="noStrike" baseline="0">
                <a:effectLst/>
              </a:rPr>
              <a:t>評分（</a:t>
            </a:r>
            <a:r>
              <a:rPr lang="en-US" altLang="zh-TW" sz="1800" b="1" i="0" u="none" strike="noStrike" baseline="0">
                <a:effectLst/>
              </a:rPr>
              <a:t>CP </a:t>
            </a:r>
            <a:r>
              <a:rPr lang="zh-TW" altLang="en-US" sz="1800" b="1" i="0" u="none" strike="noStrike" baseline="0">
                <a:effectLst/>
              </a:rPr>
              <a:t>值分析）</a:t>
            </a:r>
            <a:endParaRPr lang="zh-TW" altLang="en-US" sz="18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>
        <c:manualLayout>
          <c:layoutTarget val="inner"/>
          <c:xMode val="edge"/>
          <c:yMode val="edge"/>
          <c:x val="0.12156852853801799"/>
          <c:y val="0.14251460969613686"/>
          <c:w val="0.83669296342423538"/>
          <c:h val="0.73289484278212047"/>
        </c:manualLayout>
      </c:layout>
      <c:scatterChart>
        <c:scatterStyle val="lineMarker"/>
        <c:varyColors val="0"/>
        <c:ser>
          <c:idx val="0"/>
          <c:order val="0"/>
          <c:tx>
            <c:strRef>
              <c:f>全部資料!$I$1</c:f>
              <c:strCache>
                <c:ptCount val="1"/>
                <c:pt idx="0">
                  <c:v>google星級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全部資料!$E$2:$E$41</c:f>
              <c:numCache>
                <c:formatCode>General</c:formatCode>
                <c:ptCount val="40"/>
                <c:pt idx="0">
                  <c:v>170</c:v>
                </c:pt>
                <c:pt idx="1">
                  <c:v>150</c:v>
                </c:pt>
                <c:pt idx="2">
                  <c:v>130</c:v>
                </c:pt>
                <c:pt idx="3">
                  <c:v>120</c:v>
                </c:pt>
                <c:pt idx="4">
                  <c:v>130</c:v>
                </c:pt>
                <c:pt idx="5">
                  <c:v>130</c:v>
                </c:pt>
                <c:pt idx="6">
                  <c:v>120</c:v>
                </c:pt>
                <c:pt idx="7">
                  <c:v>110</c:v>
                </c:pt>
                <c:pt idx="8">
                  <c:v>175</c:v>
                </c:pt>
                <c:pt idx="9">
                  <c:v>120</c:v>
                </c:pt>
                <c:pt idx="10">
                  <c:v>150</c:v>
                </c:pt>
                <c:pt idx="11">
                  <c:v>135</c:v>
                </c:pt>
                <c:pt idx="12">
                  <c:v>150</c:v>
                </c:pt>
                <c:pt idx="13">
                  <c:v>175</c:v>
                </c:pt>
                <c:pt idx="14">
                  <c:v>175</c:v>
                </c:pt>
                <c:pt idx="15">
                  <c:v>155</c:v>
                </c:pt>
                <c:pt idx="16">
                  <c:v>180</c:v>
                </c:pt>
                <c:pt idx="17">
                  <c:v>155</c:v>
                </c:pt>
                <c:pt idx="18">
                  <c:v>230</c:v>
                </c:pt>
                <c:pt idx="19">
                  <c:v>150</c:v>
                </c:pt>
                <c:pt idx="20">
                  <c:v>200</c:v>
                </c:pt>
                <c:pt idx="21">
                  <c:v>180</c:v>
                </c:pt>
                <c:pt idx="22">
                  <c:v>175</c:v>
                </c:pt>
                <c:pt idx="23">
                  <c:v>180</c:v>
                </c:pt>
                <c:pt idx="24">
                  <c:v>170</c:v>
                </c:pt>
                <c:pt idx="25">
                  <c:v>105</c:v>
                </c:pt>
                <c:pt idx="26">
                  <c:v>130</c:v>
                </c:pt>
                <c:pt idx="27">
                  <c:v>180</c:v>
                </c:pt>
                <c:pt idx="28">
                  <c:v>170</c:v>
                </c:pt>
                <c:pt idx="29">
                  <c:v>230</c:v>
                </c:pt>
                <c:pt idx="30">
                  <c:v>180</c:v>
                </c:pt>
                <c:pt idx="31">
                  <c:v>170</c:v>
                </c:pt>
                <c:pt idx="32">
                  <c:v>170</c:v>
                </c:pt>
                <c:pt idx="33">
                  <c:v>175</c:v>
                </c:pt>
                <c:pt idx="34">
                  <c:v>160</c:v>
                </c:pt>
                <c:pt idx="35">
                  <c:v>175</c:v>
                </c:pt>
                <c:pt idx="36">
                  <c:v>150</c:v>
                </c:pt>
                <c:pt idx="37">
                  <c:v>130</c:v>
                </c:pt>
                <c:pt idx="38">
                  <c:v>160</c:v>
                </c:pt>
                <c:pt idx="39">
                  <c:v>190</c:v>
                </c:pt>
              </c:numCache>
            </c:numRef>
          </c:xVal>
          <c:yVal>
            <c:numRef>
              <c:f>全部資料!$I$2:$I$41</c:f>
              <c:numCache>
                <c:formatCode>General</c:formatCode>
                <c:ptCount val="40"/>
                <c:pt idx="0">
                  <c:v>4.7</c:v>
                </c:pt>
                <c:pt idx="1">
                  <c:v>4.5999999999999996</c:v>
                </c:pt>
                <c:pt idx="2">
                  <c:v>4.8</c:v>
                </c:pt>
                <c:pt idx="3">
                  <c:v>4.7</c:v>
                </c:pt>
                <c:pt idx="4">
                  <c:v>4.7</c:v>
                </c:pt>
                <c:pt idx="5">
                  <c:v>4.9000000000000004</c:v>
                </c:pt>
                <c:pt idx="6">
                  <c:v>4.5</c:v>
                </c:pt>
                <c:pt idx="7">
                  <c:v>4.3</c:v>
                </c:pt>
                <c:pt idx="8">
                  <c:v>4.2</c:v>
                </c:pt>
                <c:pt idx="9">
                  <c:v>4.8</c:v>
                </c:pt>
                <c:pt idx="10">
                  <c:v>4.7</c:v>
                </c:pt>
                <c:pt idx="11">
                  <c:v>4.5</c:v>
                </c:pt>
                <c:pt idx="12">
                  <c:v>4.5999999999999996</c:v>
                </c:pt>
                <c:pt idx="13">
                  <c:v>4.2</c:v>
                </c:pt>
                <c:pt idx="14">
                  <c:v>4.5</c:v>
                </c:pt>
                <c:pt idx="15">
                  <c:v>4.8</c:v>
                </c:pt>
                <c:pt idx="16">
                  <c:v>4.8</c:v>
                </c:pt>
                <c:pt idx="17">
                  <c:v>5</c:v>
                </c:pt>
                <c:pt idx="18">
                  <c:v>4.5</c:v>
                </c:pt>
                <c:pt idx="19">
                  <c:v>4.7</c:v>
                </c:pt>
                <c:pt idx="20">
                  <c:v>4.0999999999999996</c:v>
                </c:pt>
                <c:pt idx="21">
                  <c:v>4.3</c:v>
                </c:pt>
                <c:pt idx="22">
                  <c:v>4.5999999999999996</c:v>
                </c:pt>
                <c:pt idx="23">
                  <c:v>4.4000000000000004</c:v>
                </c:pt>
                <c:pt idx="24">
                  <c:v>4.8</c:v>
                </c:pt>
                <c:pt idx="25">
                  <c:v>4.5999999999999996</c:v>
                </c:pt>
                <c:pt idx="26">
                  <c:v>4.7</c:v>
                </c:pt>
                <c:pt idx="27">
                  <c:v>4.3</c:v>
                </c:pt>
                <c:pt idx="28">
                  <c:v>4.5</c:v>
                </c:pt>
                <c:pt idx="29">
                  <c:v>4.5</c:v>
                </c:pt>
                <c:pt idx="30">
                  <c:v>4.2</c:v>
                </c:pt>
                <c:pt idx="31">
                  <c:v>4.3</c:v>
                </c:pt>
                <c:pt idx="32">
                  <c:v>4.3</c:v>
                </c:pt>
                <c:pt idx="33">
                  <c:v>4.4000000000000004</c:v>
                </c:pt>
                <c:pt idx="34">
                  <c:v>4.2</c:v>
                </c:pt>
                <c:pt idx="35">
                  <c:v>4.3</c:v>
                </c:pt>
                <c:pt idx="36">
                  <c:v>4.9000000000000004</c:v>
                </c:pt>
                <c:pt idx="37">
                  <c:v>4.2</c:v>
                </c:pt>
                <c:pt idx="38">
                  <c:v>4.9000000000000004</c:v>
                </c:pt>
                <c:pt idx="39">
                  <c:v>4.4000000000000004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43-4B54-8202-E003B20261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4104271"/>
        <c:axId val="524106191"/>
      </c:scatterChart>
      <c:valAx>
        <c:axId val="5241042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24106191"/>
        <c:crosses val="autoZero"/>
        <c:crossBetween val="midCat"/>
      </c:valAx>
      <c:valAx>
        <c:axId val="524106191"/>
        <c:scaling>
          <c:orientation val="minMax"/>
          <c:max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 sz="1600" b="1">
                    <a:effectLst/>
                  </a:rPr>
                  <a:t>Google </a:t>
                </a:r>
                <a:r>
                  <a:rPr lang="zh-TW" altLang="en-US" sz="1600" b="1">
                    <a:effectLst/>
                  </a:rPr>
                  <a:t>評分</a:t>
                </a:r>
                <a:endParaRPr lang="zh-TW" altLang="en-US" sz="1600">
                  <a:effectLst/>
                </a:endParaRPr>
              </a:p>
            </c:rich>
          </c:tx>
          <c:layout>
            <c:manualLayout>
              <c:xMode val="edge"/>
              <c:yMode val="edge"/>
              <c:x val="1.8349511621447254E-2"/>
              <c:y val="0.382022534969265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24104271"/>
        <c:crosses val="autoZero"/>
        <c:crossBetween val="midCat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274383</xdr:colOff>
      <xdr:row>1</xdr:row>
      <xdr:rowOff>156789</xdr:rowOff>
    </xdr:from>
    <xdr:ext cx="8427468" cy="566012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1212850</xdr:colOff>
          <xdr:row>4</xdr:row>
          <xdr:rowOff>31750</xdr:rowOff>
        </xdr:from>
        <xdr:to>
          <xdr:col>8</xdr:col>
          <xdr:colOff>628650</xdr:colOff>
          <xdr:row>5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🔍 搜尋推薦咖啡廳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1212850</xdr:colOff>
          <xdr:row>5</xdr:row>
          <xdr:rowOff>120650</xdr:rowOff>
        </xdr:from>
        <xdr:to>
          <xdr:col>8</xdr:col>
          <xdr:colOff>628650</xdr:colOff>
          <xdr:row>6</xdr:row>
          <xdr:rowOff>101600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4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🗑 清除結果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1212850</xdr:colOff>
          <xdr:row>7</xdr:row>
          <xdr:rowOff>0</xdr:rowOff>
        </xdr:from>
        <xdr:to>
          <xdr:col>8</xdr:col>
          <xdr:colOff>635000</xdr:colOff>
          <xdr:row>7</xdr:row>
          <xdr:rowOff>139700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4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📋 顯示全部咖啡廳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269392</xdr:colOff>
      <xdr:row>0</xdr:row>
      <xdr:rowOff>0</xdr:rowOff>
    </xdr:from>
    <xdr:ext cx="6850305" cy="513772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7</xdr:col>
      <xdr:colOff>355576</xdr:colOff>
      <xdr:row>28</xdr:row>
      <xdr:rowOff>123234</xdr:rowOff>
    </xdr:from>
    <xdr:ext cx="6480000" cy="468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twoCellAnchor>
    <xdr:from>
      <xdr:col>6</xdr:col>
      <xdr:colOff>690802</xdr:colOff>
      <xdr:row>55</xdr:row>
      <xdr:rowOff>100925</xdr:rowOff>
    </xdr:from>
    <xdr:to>
      <xdr:col>19</xdr:col>
      <xdr:colOff>548409</xdr:colOff>
      <xdr:row>86</xdr:row>
      <xdr:rowOff>76969</xdr:rowOff>
    </xdr:to>
    <xdr:graphicFrame macro="">
      <xdr:nvGraphicFramePr>
        <xdr:cNvPr id="4" name="圖表 1">
          <a:extLst>
            <a:ext uri="{FF2B5EF4-FFF2-40B4-BE49-F238E27FC236}">
              <a16:creationId xmlns:a16="http://schemas.microsoft.com/office/drawing/2014/main" id="{123DA118-E968-E983-D56A-00080E4E39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https://maps.app.goo.gl/CyTSMeMWsFWtRXXK9?g_st=ic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maps.app.goo.gl/VNw4wXjs8NHFEb8T6?g_st=ic" TargetMode="External"/><Relationship Id="rId1" Type="http://schemas.openxmlformats.org/officeDocument/2006/relationships/hyperlink" Target="https://maps.app.goo.gl/UhmeQWtNsvPdtPbG7?g_st=ic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openxmlformats.org/officeDocument/2006/relationships/ctrlProp" Target="../ctrlProps/ctrlProp3.xml"/><Relationship Id="rId4" Type="http://schemas.openxmlformats.org/officeDocument/2006/relationships/hyperlink" Target="https://maps.app.goo.gl/Nmg8GUX67mAJ46yt9?g_st=ic" TargetMode="External"/><Relationship Id="rId9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08710A-F06A-4791-942B-D21A2D25F956}">
  <sheetPr codeName="工作表7"/>
  <dimension ref="A2:B25"/>
  <sheetViews>
    <sheetView workbookViewId="0">
      <selection activeCell="B19" sqref="B19"/>
    </sheetView>
  </sheetViews>
  <sheetFormatPr defaultRowHeight="14.5"/>
  <cols>
    <col min="1" max="1" width="8.796875" style="31"/>
    <col min="2" max="2" width="129.59765625" style="31" bestFit="1" customWidth="1"/>
    <col min="3" max="16384" width="8.796875" style="31"/>
  </cols>
  <sheetData>
    <row r="2" spans="1:2" ht="18">
      <c r="B2" s="37" t="s">
        <v>103</v>
      </c>
    </row>
    <row r="4" spans="1:2" ht="15.5">
      <c r="B4" s="36" t="s">
        <v>175</v>
      </c>
    </row>
    <row r="5" spans="1:2">
      <c r="B5" s="33" t="s">
        <v>176</v>
      </c>
    </row>
    <row r="6" spans="1:2" ht="15">
      <c r="B6" s="32" t="s">
        <v>177</v>
      </c>
    </row>
    <row r="7" spans="1:2" ht="15">
      <c r="B7" s="32" t="s">
        <v>178</v>
      </c>
    </row>
    <row r="8" spans="1:2" ht="15">
      <c r="B8" s="32" t="s">
        <v>179</v>
      </c>
    </row>
    <row r="9" spans="1:2" ht="15">
      <c r="B9" s="32" t="s">
        <v>180</v>
      </c>
    </row>
    <row r="11" spans="1:2" ht="15.5">
      <c r="A11" s="33"/>
      <c r="B11" s="35" t="s">
        <v>181</v>
      </c>
    </row>
    <row r="12" spans="1:2" ht="16.5">
      <c r="A12" s="34"/>
      <c r="B12" s="33" t="s">
        <v>182</v>
      </c>
    </row>
    <row r="13" spans="1:2" ht="16.5">
      <c r="A13" s="34"/>
      <c r="B13" s="33" t="s">
        <v>193</v>
      </c>
    </row>
    <row r="14" spans="1:2">
      <c r="A14" s="33"/>
      <c r="B14" s="33"/>
    </row>
    <row r="15" spans="1:2" ht="15.5">
      <c r="A15" s="33"/>
      <c r="B15" s="35" t="s">
        <v>183</v>
      </c>
    </row>
    <row r="16" spans="1:2" ht="16.5">
      <c r="A16" s="34"/>
      <c r="B16" s="33" t="s">
        <v>184</v>
      </c>
    </row>
    <row r="17" spans="1:2" ht="16.5">
      <c r="A17" s="34"/>
      <c r="B17" s="33" t="s">
        <v>185</v>
      </c>
    </row>
    <row r="18" spans="1:2" ht="16.5">
      <c r="A18" s="34"/>
      <c r="B18" s="33" t="s">
        <v>186</v>
      </c>
    </row>
    <row r="19" spans="1:2" ht="16.5">
      <c r="A19" s="34"/>
      <c r="B19" s="33" t="s">
        <v>187</v>
      </c>
    </row>
    <row r="21" spans="1:2" ht="16.5">
      <c r="A21" s="34"/>
      <c r="B21" s="35" t="s">
        <v>188</v>
      </c>
    </row>
    <row r="22" spans="1:2" ht="16.5">
      <c r="A22" s="34"/>
      <c r="B22" s="33" t="s">
        <v>189</v>
      </c>
    </row>
    <row r="23" spans="1:2" ht="16.5">
      <c r="A23" s="34"/>
      <c r="B23" s="33" t="s">
        <v>190</v>
      </c>
    </row>
    <row r="24" spans="1:2" ht="16.5">
      <c r="A24" s="34"/>
      <c r="B24" s="33" t="s">
        <v>191</v>
      </c>
    </row>
    <row r="25" spans="1:2" ht="16.5">
      <c r="A25" s="34"/>
      <c r="B25" s="33" t="s">
        <v>192</v>
      </c>
    </row>
  </sheetData>
  <phoneticPr fontId="9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ns1="http://schemas.openxmlformats.org/markup-compatibility/2006" xmlns:ns2="http://schemas.microsoft.com/office/spreadsheetml/2014/revision" xmlns:ns3="http://schemas.openxmlformats.org/officeDocument/2006/relationships" xmlns:ns4="http://schemas.openxmlformats.org/drawingml/2006/spreadsheetDrawing" xmlns:ns5="http://schemas.microsoft.com/office/spreadsheetml/2009/9/main" xmlns:ns6="http://schemas.microsoft.com/office/excel/2006/main" ns1:Ignorable="x14ac xr xr2 xr3" ns2:uid="{00000000-0001-0000-0400-000000000000}">
  <sheetPr codeName="工作表5"/>
  <dimension ref="B2:I40"/>
  <sheetViews>
    <sheetView tabSelected="1" topLeftCell="A17" zoomScale="81" zoomScaleNormal="81" workbookViewId="0">
      <selection activeCell="G33" sqref="G33"/>
    </sheetView>
  </sheetViews>
  <sheetFormatPr defaultRowHeight="14.5"/>
  <cols>
    <col min="1" max="1" width="3" customWidth="1"/>
    <col min="2" max="2" width="28.09765625" bestFit="1" customWidth="1"/>
    <col min="3" max="3" width="35.59765625" customWidth="1"/>
    <col min="4" max="4" width="23.19921875" bestFit="1" customWidth="1"/>
    <col min="5" max="5" width="11.69921875" bestFit="1" customWidth="1"/>
    <col min="6" max="6" width="27.8984375" customWidth="1"/>
    <col min="7" max="7" width="10.59765625" bestFit="1" customWidth="1"/>
    <col min="8" max="8" width="57.296875" bestFit="1" customWidth="1"/>
    <col min="9" max="9" width="14.69921875" bestFit="1" customWidth="1"/>
  </cols>
  <sheetData>
    <row r="2" spans="2:9" ht="25.5">
      <c r="B2" s="13" t="s">
        <v>103</v>
      </c>
      <c r="C2" s="11"/>
      <c r="D2" s="11"/>
      <c r="E2" s="11"/>
      <c r="F2" s="11"/>
      <c r="G2" s="11"/>
      <c r="H2" s="11"/>
      <c r="I2" s="11"/>
    </row>
    <row r="3" spans="2:9">
      <c r="B3" s="14"/>
      <c r="C3" s="11"/>
      <c r="D3" s="11"/>
      <c r="E3" s="11"/>
      <c r="F3" s="11"/>
      <c r="G3" s="11"/>
      <c r="H3" s="11"/>
      <c r="I3" s="11"/>
    </row>
    <row r="5" spans="2:9" ht="15">
      <c r="B5" s="12" t="s">
        <v>104</v>
      </c>
      <c r="C5" s="11"/>
      <c r="D5" s="18" t="s">
        <v>160</v>
      </c>
      <c r="E5" s="19"/>
      <c r="F5" s="7" t="s">
        <v>105</v>
      </c>
    </row>
    <row r="6" spans="2:9" ht="15">
      <c r="B6" s="12" t="s">
        <v>106</v>
      </c>
      <c r="C6" s="11"/>
      <c r="D6" s="18" t="s">
        <v>173</v>
      </c>
      <c r="E6" s="19"/>
      <c r="F6" s="7"/>
    </row>
    <row r="7" spans="2:9" ht="15">
      <c r="B7" s="12" t="s">
        <v>107</v>
      </c>
      <c r="C7" s="11"/>
      <c r="D7" s="18" t="s">
        <v>159</v>
      </c>
      <c r="E7" s="19"/>
      <c r="F7" s="7"/>
    </row>
    <row r="8" spans="2:9" ht="15">
      <c r="B8" s="12" t="s">
        <v>162</v>
      </c>
      <c r="C8" s="11"/>
      <c r="D8" s="17" t="s">
        <v>101</v>
      </c>
      <c r="E8" s="17"/>
    </row>
    <row r="9" spans="2:9" ht="17">
      <c r="B9" s="10" t="s">
        <v>108</v>
      </c>
      <c r="C9" s="11"/>
      <c r="D9" s="11"/>
      <c r="E9" s="11"/>
      <c r="F9" s="11"/>
      <c r="G9" s="11"/>
      <c r="H9" s="11"/>
      <c r="I9" s="11"/>
    </row>
    <row r="10" spans="2:9">
      <c r="B10" s="8" t="s">
        <v>109</v>
      </c>
      <c r="C10" s="8" t="s">
        <v>0</v>
      </c>
      <c r="D10" s="8" t="s">
        <v>99</v>
      </c>
      <c r="E10" s="8" t="s">
        <v>1</v>
      </c>
      <c r="F10" s="8" t="s">
        <v>2</v>
      </c>
      <c r="G10" s="8" t="s">
        <v>3</v>
      </c>
      <c r="H10" s="8" t="s">
        <v>6</v>
      </c>
      <c r="I10" s="8" t="s">
        <v>110</v>
      </c>
    </row>
    <row r="11" spans="2:9">
      <c r="B11" s="5">
        <v>1</v>
      </c>
      <c r="C11" s="20" t="s">
        <v>47</v>
      </c>
      <c r="D11" s="5" t="str">
        <f>IFERROR(VLOOKUP(TRIM($C11),全部資料!$A$2:$J$41,2,FALSE),"")</f>
        <v>文山區</v>
      </c>
      <c r="E11" s="5">
        <f>IFERROR(VLOOKUP(TRIM($C11),全部資料!$A$2:$J$41,3,FALSE),"")</f>
        <v>2.2000000000000002</v>
      </c>
      <c r="F11" s="5">
        <f>IFERROR(VLOOKUP(TRIM($C11),全部資料!$A$2:$J$41,4,FALSE),"")</f>
        <v>18</v>
      </c>
      <c r="G11" s="5">
        <f>IFERROR(VLOOKUP(TRIM($C11),全部資料!$A$2:$J$41,5,FALSE),"")</f>
        <v>155</v>
      </c>
      <c r="H11" s="5" t="str">
        <f>IFERROR(VLOOKUP(TRIM($C11),全部資料!$A$2:$J$41,8,FALSE),"")</f>
        <v>有限時：平日客滿限時2小時，假日客滿限時1.5小時</v>
      </c>
      <c r="I11" s="5">
        <f>IFERROR(VLOOKUP(TRIM($C11),全部資料!$A$2:$J$41,9,FALSE),"")</f>
        <v>4.8</v>
      </c>
    </row>
    <row r="12" spans="2:9">
      <c r="B12" s="15">
        <v>2</v>
      </c>
      <c r="C12" s="21" t="s">
        <v>49</v>
      </c>
      <c r="D12" s="15" t="str">
        <f>IFERROR(VLOOKUP(TRIM($C12),全部資料!$A$2:$J$41,2,FALSE),"")</f>
        <v>文山區</v>
      </c>
      <c r="E12" s="15">
        <f>IFERROR(VLOOKUP(TRIM($C12),全部資料!$A$2:$J$41,3,FALSE),"")</f>
        <v>2.9</v>
      </c>
      <c r="F12" s="15">
        <f>IFERROR(VLOOKUP(TRIM($C12),全部資料!$A$2:$J$41,4,FALSE),"")</f>
        <v>16</v>
      </c>
      <c r="G12" s="15">
        <f>IFERROR(VLOOKUP(TRIM($C12),全部資料!$A$2:$J$41,5,FALSE),"")</f>
        <v>180</v>
      </c>
      <c r="H12" s="15" t="str">
        <f>IFERROR(VLOOKUP(TRIM($C12),全部資料!$A$2:$J$41,8,FALSE),"")</f>
        <v>有限時：平日不限時，假日限時2小時</v>
      </c>
      <c r="I12" s="15">
        <f>IFERROR(VLOOKUP(TRIM($C12),全部資料!$A$2:$J$41,9,FALSE),"")</f>
        <v>4.8</v>
      </c>
    </row>
    <row r="13" spans="2:9">
      <c r="B13" s="5">
        <v>3</v>
      </c>
      <c r="C13" s="20" t="s">
        <v>45</v>
      </c>
      <c r="D13" s="5" t="str">
        <f>IFERROR(VLOOKUP(TRIM($C13),全部資料!$A$2:$J$41,2,FALSE),"")</f>
        <v>文山區</v>
      </c>
      <c r="E13" s="5">
        <f>IFERROR(VLOOKUP(TRIM($C13),全部資料!$A$2:$J$41,3,FALSE),"")</f>
        <v>5.6</v>
      </c>
      <c r="F13" s="5">
        <f>IFERROR(VLOOKUP(TRIM($C13),全部資料!$A$2:$J$41,4,FALSE),"")</f>
        <v>28</v>
      </c>
      <c r="G13" s="5">
        <f>IFERROR(VLOOKUP(TRIM($C13),全部資料!$A$2:$J$41,5,FALSE),"")</f>
        <v>175</v>
      </c>
      <c r="H13" s="5" t="str">
        <f>IFERROR(VLOOKUP(TRIM($C13),全部資料!$A$2:$J$41,8,FALSE),"")</f>
        <v>有限時：客滿限時2小時</v>
      </c>
      <c r="I13" s="5">
        <f>IFERROR(VLOOKUP(TRIM($C13),全部資料!$A$2:$J$41,9,FALSE),"")</f>
        <v>4.5</v>
      </c>
    </row>
    <row r="14" spans="2:9">
      <c r="B14" s="15">
        <v>4</v>
      </c>
      <c r="C14" s="21" t="s">
        <v>43</v>
      </c>
      <c r="D14" s="15" t="str">
        <f>IFERROR(VLOOKUP(TRIM($C14),全部資料!$A$2:$J$41,2,FALSE),"")</f>
        <v>文山區</v>
      </c>
      <c r="E14" s="15">
        <f>IFERROR(VLOOKUP(TRIM($C14),全部資料!$A$2:$J$41,3,FALSE),"")</f>
        <v>5.8</v>
      </c>
      <c r="F14" s="15">
        <f>IFERROR(VLOOKUP(TRIM($C14),全部資料!$A$2:$J$41,4,FALSE),"")</f>
        <v>30</v>
      </c>
      <c r="G14" s="15">
        <f>IFERROR(VLOOKUP(TRIM($C14),全部資料!$A$2:$J$41,5,FALSE),"")</f>
        <v>175</v>
      </c>
      <c r="H14" s="15" t="str">
        <f>IFERROR(VLOOKUP(TRIM($C14),全部資料!$A$2:$J$41,8,FALSE),"")</f>
        <v>有限時：客滿限時2小時</v>
      </c>
      <c r="I14" s="15">
        <f>IFERROR(VLOOKUP(TRIM($C14),全部資料!$A$2:$J$41,9,FALSE),"")</f>
        <v>4.2</v>
      </c>
    </row>
    <row r="15" spans="2:9">
      <c r="B15" s="5"/>
      <c r="C15" s="20"/>
      <c r="D15" s="5" t="str">
        <f>IFERROR(VLOOKUP(TRIM($C15),全部資料!$A$2:$J$41,2,FALSE),"")</f>
        <v/>
      </c>
      <c r="E15" s="5" t="str">
        <f>IFERROR(VLOOKUP(TRIM($C15),全部資料!$A$2:$J$41,3,FALSE),"")</f>
        <v/>
      </c>
      <c r="F15" s="5" t="str">
        <f>IFERROR(VLOOKUP(TRIM($C15),全部資料!$A$2:$J$41,4,FALSE),"")</f>
        <v/>
      </c>
      <c r="G15" s="5" t="str">
        <f>IFERROR(VLOOKUP(TRIM($C15),全部資料!$A$2:$J$41,5,FALSE),"")</f>
        <v/>
      </c>
      <c r="H15" s="5" t="str">
        <f>IFERROR(VLOOKUP(TRIM($C15),全部資料!$A$2:$J$41,8,FALSE),"")</f>
        <v/>
      </c>
      <c r="I15" s="5" t="str">
        <f>IFERROR(VLOOKUP(TRIM($C15),全部資料!$A$2:$J$41,9,FALSE),"")</f>
        <v/>
      </c>
    </row>
    <row r="16" spans="2:9">
      <c r="B16" s="15"/>
      <c r="C16" s="21"/>
      <c r="D16" s="15" t="str">
        <f>IFERROR(VLOOKUP(TRIM($C16),全部資料!$A$2:$J$41,2,FALSE),"")</f>
        <v/>
      </c>
      <c r="E16" s="15" t="str">
        <f>IFERROR(VLOOKUP(TRIM($C16),全部資料!$A$2:$J$41,3,FALSE),"")</f>
        <v/>
      </c>
      <c r="F16" s="15" t="str">
        <f>IFERROR(VLOOKUP(TRIM($C16),全部資料!$A$2:$J$41,4,FALSE),"")</f>
        <v/>
      </c>
      <c r="G16" s="15" t="str">
        <f>IFERROR(VLOOKUP(TRIM($C16),全部資料!$A$2:$J$41,5,FALSE),"")</f>
        <v/>
      </c>
      <c r="H16" s="15" t="str">
        <f>IFERROR(VLOOKUP(TRIM($C16),全部資料!$A$2:$J$41,8,FALSE),"")</f>
        <v/>
      </c>
      <c r="I16" s="15" t="str">
        <f>IFERROR(VLOOKUP(TRIM($C16),全部資料!$A$2:$J$41,9,FALSE),"")</f>
        <v/>
      </c>
    </row>
    <row r="17" spans="2:9">
      <c r="B17" s="5"/>
      <c r="C17" s="20"/>
      <c r="D17" s="5" t="str">
        <f>IFERROR(VLOOKUP(TRIM($C17),全部資料!$A$2:$J$41,2,FALSE),"")</f>
        <v/>
      </c>
      <c r="E17" s="5" t="str">
        <f>IFERROR(VLOOKUP(TRIM($C17),全部資料!$A$2:$J$41,3,FALSE),"")</f>
        <v/>
      </c>
      <c r="F17" s="5" t="str">
        <f>IFERROR(VLOOKUP(TRIM($C17),全部資料!$A$2:$J$41,4,FALSE),"")</f>
        <v/>
      </c>
      <c r="G17" s="5" t="str">
        <f>IFERROR(VLOOKUP(TRIM($C17),全部資料!$A$2:$J$41,5,FALSE),"")</f>
        <v/>
      </c>
      <c r="H17" s="5" t="str">
        <f>IFERROR(VLOOKUP(TRIM($C17),全部資料!$A$2:$J$41,8,FALSE),"")</f>
        <v/>
      </c>
      <c r="I17" s="5" t="str">
        <f>IFERROR(VLOOKUP(TRIM($C17),全部資料!$A$2:$J$41,9,FALSE),"")</f>
        <v/>
      </c>
    </row>
    <row r="18" spans="2:9">
      <c r="B18" s="15"/>
      <c r="C18" s="21"/>
      <c r="D18" s="15" t="str">
        <f>IFERROR(VLOOKUP(TRIM($C18),全部資料!$A$2:$J$41,2,FALSE),"")</f>
        <v/>
      </c>
      <c r="E18" s="15" t="str">
        <f>IFERROR(VLOOKUP(TRIM($C18),全部資料!$A$2:$J$41,3,FALSE),"")</f>
        <v/>
      </c>
      <c r="F18" s="15" t="str">
        <f>IFERROR(VLOOKUP(TRIM($C18),全部資料!$A$2:$J$41,4,FALSE),"")</f>
        <v/>
      </c>
      <c r="G18" s="15" t="str">
        <f>IFERROR(VLOOKUP(TRIM($C18),全部資料!$A$2:$J$41,5,FALSE),"")</f>
        <v/>
      </c>
      <c r="H18" s="15" t="str">
        <f>IFERROR(VLOOKUP(TRIM($C18),全部資料!$A$2:$J$41,8,FALSE),"")</f>
        <v/>
      </c>
      <c r="I18" s="15" t="str">
        <f>IFERROR(VLOOKUP(TRIM($C18),全部資料!$A$2:$J$41,9,FALSE),"")</f>
        <v/>
      </c>
    </row>
    <row r="19" spans="2:9">
      <c r="B19" s="5"/>
      <c r="C19" s="20"/>
      <c r="D19" s="5" t="str">
        <f>IFERROR(VLOOKUP(TRIM($C19),全部資料!$A$2:$J$41,2,FALSE),"")</f>
        <v/>
      </c>
      <c r="E19" s="5" t="str">
        <f>IFERROR(VLOOKUP(TRIM($C19),全部資料!$A$2:$J$41,3,FALSE),"")</f>
        <v/>
      </c>
      <c r="F19" s="5" t="str">
        <f>IFERROR(VLOOKUP(TRIM($C19),全部資料!$A$2:$J$41,4,FALSE),"")</f>
        <v/>
      </c>
      <c r="G19" s="5" t="str">
        <f>IFERROR(VLOOKUP(TRIM($C19),全部資料!$A$2:$J$41,5,FALSE),"")</f>
        <v/>
      </c>
      <c r="H19" s="5" t="str">
        <f>IFERROR(VLOOKUP(TRIM($C19),全部資料!$A$2:$J$41,8,FALSE),"")</f>
        <v/>
      </c>
      <c r="I19" s="5" t="str">
        <f>IFERROR(VLOOKUP(TRIM($C19),全部資料!$A$2:$J$41,9,FALSE),"")</f>
        <v/>
      </c>
    </row>
    <row r="20" spans="2:9">
      <c r="B20" s="15"/>
      <c r="C20" s="21"/>
      <c r="D20" s="15" t="str">
        <f>IFERROR(VLOOKUP(TRIM($C20),全部資料!$A$2:$J$41,2,FALSE),"")</f>
        <v/>
      </c>
      <c r="E20" s="15" t="str">
        <f>IFERROR(VLOOKUP(TRIM($C20),全部資料!$A$2:$J$41,3,FALSE),"")</f>
        <v/>
      </c>
      <c r="F20" s="15" t="str">
        <f>IFERROR(VLOOKUP(TRIM($C20),全部資料!$A$2:$J$41,4,FALSE),"")</f>
        <v/>
      </c>
      <c r="G20" s="15" t="str">
        <f>IFERROR(VLOOKUP(TRIM($C20),全部資料!$A$2:$J$41,5,FALSE),"")</f>
        <v/>
      </c>
      <c r="H20" s="15" t="str">
        <f>IFERROR(VLOOKUP(TRIM($C20),全部資料!$A$2:$J$41,8,FALSE),"")</f>
        <v/>
      </c>
      <c r="I20" s="15" t="str">
        <f>IFERROR(VLOOKUP(TRIM($C20),全部資料!$A$2:$J$41,9,FALSE),"")</f>
        <v/>
      </c>
    </row>
    <row r="21" spans="2:9">
      <c r="B21" s="5"/>
      <c r="C21" s="20"/>
      <c r="D21" s="5" t="str">
        <f>IFERROR(VLOOKUP(TRIM($C21),全部資料!$A$2:$J$41,2,FALSE),"")</f>
        <v/>
      </c>
      <c r="E21" s="5" t="str">
        <f>IFERROR(VLOOKUP(TRIM($C21),全部資料!$A$2:$J$41,3,FALSE),"")</f>
        <v/>
      </c>
      <c r="F21" s="5" t="str">
        <f>IFERROR(VLOOKUP(TRIM($C21),全部資料!$A$2:$J$41,4,FALSE),"")</f>
        <v/>
      </c>
      <c r="G21" s="5" t="str">
        <f>IFERROR(VLOOKUP(TRIM($C21),全部資料!$A$2:$J$41,5,FALSE),"")</f>
        <v/>
      </c>
      <c r="H21" s="5" t="str">
        <f>IFERROR(VLOOKUP(TRIM($C21),全部資料!$A$2:$J$41,8,FALSE),"")</f>
        <v/>
      </c>
      <c r="I21" s="5" t="str">
        <f>IFERROR(VLOOKUP(TRIM($C21),全部資料!$A$2:$J$41,9,FALSE),"")</f>
        <v/>
      </c>
    </row>
    <row r="22" spans="2:9">
      <c r="B22" s="15"/>
      <c r="C22" s="21"/>
      <c r="D22" s="15" t="str">
        <f>IFERROR(VLOOKUP(TRIM($C22),全部資料!$A$2:$J$41,2,FALSE),"")</f>
        <v/>
      </c>
      <c r="E22" s="15" t="str">
        <f>IFERROR(VLOOKUP(TRIM($C22),全部資料!$A$2:$J$41,3,FALSE),"")</f>
        <v/>
      </c>
      <c r="F22" s="15" t="str">
        <f>IFERROR(VLOOKUP(TRIM($C22),全部資料!$A$2:$J$41,4,FALSE),"")</f>
        <v/>
      </c>
      <c r="G22" s="15" t="str">
        <f>IFERROR(VLOOKUP(TRIM($C22),全部資料!$A$2:$J$41,5,FALSE),"")</f>
        <v/>
      </c>
      <c r="H22" s="15" t="str">
        <f>IFERROR(VLOOKUP(TRIM($C22),全部資料!$A$2:$J$41,8,FALSE),"")</f>
        <v/>
      </c>
      <c r="I22" s="15" t="str">
        <f>IFERROR(VLOOKUP(TRIM($C22),全部資料!$A$2:$J$41,9,FALSE),"")</f>
        <v/>
      </c>
    </row>
    <row r="23" spans="2:9">
      <c r="B23" s="5"/>
      <c r="C23" s="20"/>
      <c r="D23" s="5" t="str">
        <f>IFERROR(VLOOKUP(TRIM($C23),全部資料!$A$2:$J$41,2,FALSE),"")</f>
        <v/>
      </c>
      <c r="E23" s="5" t="str">
        <f>IFERROR(VLOOKUP(TRIM($C23),全部資料!$A$2:$J$41,3,FALSE),"")</f>
        <v/>
      </c>
      <c r="F23" s="5" t="str">
        <f>IFERROR(VLOOKUP(TRIM($C23),全部資料!$A$2:$J$41,4,FALSE),"")</f>
        <v/>
      </c>
      <c r="G23" s="5" t="str">
        <f>IFERROR(VLOOKUP(TRIM($C23),全部資料!$A$2:$J$41,5,FALSE),"")</f>
        <v/>
      </c>
      <c r="H23" s="5" t="str">
        <f>IFERROR(VLOOKUP(TRIM($C23),全部資料!$A$2:$J$41,8,FALSE),"")</f>
        <v/>
      </c>
      <c r="I23" s="5" t="str">
        <f>IFERROR(VLOOKUP(TRIM($C23),全部資料!$A$2:$J$41,9,FALSE),"")</f>
        <v/>
      </c>
    </row>
    <row r="24" spans="2:9">
      <c r="B24" s="15"/>
      <c r="C24" s="21"/>
      <c r="D24" s="15" t="str">
        <f>IFERROR(VLOOKUP(TRIM($C24),全部資料!$A$2:$J$41,2,FALSE),"")</f>
        <v/>
      </c>
      <c r="E24" s="15" t="str">
        <f>IFERROR(VLOOKUP(TRIM($C24),全部資料!$A$2:$J$41,3,FALSE),"")</f>
        <v/>
      </c>
      <c r="F24" s="15" t="str">
        <f>IFERROR(VLOOKUP(TRIM($C24),全部資料!$A$2:$J$41,4,FALSE),"")</f>
        <v/>
      </c>
      <c r="G24" s="15" t="str">
        <f>IFERROR(VLOOKUP(TRIM($C24),全部資料!$A$2:$J$41,5,FALSE),"")</f>
        <v/>
      </c>
      <c r="H24" s="15" t="str">
        <f>IFERROR(VLOOKUP(TRIM($C24),全部資料!$A$2:$J$41,8,FALSE),"")</f>
        <v/>
      </c>
      <c r="I24" s="15" t="str">
        <f>IFERROR(VLOOKUP(TRIM($C24),全部資料!$A$2:$J$41,9,FALSE),"")</f>
        <v/>
      </c>
    </row>
    <row r="25" spans="2:9">
      <c r="B25" s="5"/>
      <c r="C25" s="20"/>
      <c r="D25" s="5" t="str">
        <f>IFERROR(VLOOKUP(TRIM($C25),全部資料!$A$2:$J$41,2,FALSE),"")</f>
        <v/>
      </c>
      <c r="E25" s="5" t="str">
        <f>IFERROR(VLOOKUP(TRIM($C25),全部資料!$A$2:$J$41,3,FALSE),"")</f>
        <v/>
      </c>
      <c r="F25" s="5" t="str">
        <f>IFERROR(VLOOKUP(TRIM($C25),全部資料!$A$2:$J$41,4,FALSE),"")</f>
        <v/>
      </c>
      <c r="G25" s="5" t="str">
        <f>IFERROR(VLOOKUP(TRIM($C25),全部資料!$A$2:$J$41,5,FALSE),"")</f>
        <v/>
      </c>
      <c r="H25" s="5" t="str">
        <f>IFERROR(VLOOKUP(TRIM($C25),全部資料!$A$2:$J$41,8,FALSE),"")</f>
        <v/>
      </c>
      <c r="I25" s="5" t="str">
        <f>IFERROR(VLOOKUP(TRIM($C25),全部資料!$A$2:$J$41,9,FALSE),"")</f>
        <v/>
      </c>
    </row>
    <row r="27" spans="2:9" ht="27.5">
      <c r="B27" s="22" t="s">
        <v>163</v>
      </c>
      <c r="C27" s="25"/>
      <c r="D27" s="25"/>
      <c r="E27" s="25"/>
      <c r="F27" s="25"/>
      <c r="G27" s="25"/>
      <c r="H27" s="25"/>
      <c r="I27" s="25"/>
    </row>
    <row r="28" spans="2:9" ht="15">
      <c r="B28" s="24" t="s">
        <v>164</v>
      </c>
      <c r="C28" s="23" t="s">
        <v>174</v>
      </c>
      <c r="D28" s="24" t="s">
        <v>165</v>
      </c>
      <c r="E28" s="23">
        <v>4.58</v>
      </c>
      <c r="F28" s="24" t="s">
        <v>166</v>
      </c>
      <c r="G28" s="23">
        <v>4.8</v>
      </c>
      <c r="H28" s="24" t="s">
        <v>167</v>
      </c>
      <c r="I28" s="23">
        <v>4.2</v>
      </c>
    </row>
    <row r="29" spans="2:9">
      <c r="C29" s="26"/>
    </row>
    <row r="30" spans="2:9" ht="26">
      <c r="B30" s="38" t="s">
        <v>172</v>
      </c>
      <c r="C30" s="38"/>
      <c r="D30" s="38"/>
      <c r="E30" s="38"/>
      <c r="F30" s="38"/>
    </row>
    <row r="31" spans="2:9" ht="21.5">
      <c r="B31" s="29" t="s">
        <v>168</v>
      </c>
      <c r="C31" s="30"/>
      <c r="D31" s="29" t="s">
        <v>80</v>
      </c>
      <c r="E31" s="30"/>
      <c r="F31" s="30"/>
    </row>
    <row r="32" spans="2:9" ht="19.5">
      <c r="B32" s="28" t="s">
        <v>171</v>
      </c>
      <c r="C32" s="28"/>
      <c r="D32" s="27" t="str">
        <f>IFERROR(VLOOKUP($D$31,全部資料!$A$2:$J$41,2,FALSE),"")</f>
        <v>大安區</v>
      </c>
      <c r="E32" s="27"/>
      <c r="F32" s="27"/>
    </row>
    <row r="33" spans="2:6" ht="18">
      <c r="B33" s="27" t="s">
        <v>1</v>
      </c>
      <c r="C33" s="27"/>
      <c r="D33" s="27">
        <f>IFERROR(VLOOKUP($D$31,全部資料!$A$2:$J$41,3,FALSE),"")</f>
        <v>8.1999999999999993</v>
      </c>
      <c r="E33" s="27"/>
      <c r="F33" s="27"/>
    </row>
    <row r="34" spans="2:6" ht="18">
      <c r="B34" s="27" t="s">
        <v>2</v>
      </c>
      <c r="C34" s="27"/>
      <c r="D34" s="27">
        <f>IFERROR(VLOOKUP($D$31,全部資料!$A$2:$J$41,4,FALSE),"")</f>
        <v>61</v>
      </c>
      <c r="E34" s="27"/>
      <c r="F34" s="27"/>
    </row>
    <row r="35" spans="2:6" ht="18">
      <c r="B35" s="27" t="s">
        <v>3</v>
      </c>
      <c r="C35" s="27"/>
      <c r="D35" s="27">
        <f>IFERROR(VLOOKUP($D$31,全部資料!$A$2:$J$41,5,FALSE),"")</f>
        <v>170</v>
      </c>
      <c r="E35" s="27"/>
      <c r="F35" s="27"/>
    </row>
    <row r="36" spans="2:6" ht="18">
      <c r="B36" s="27" t="s">
        <v>4</v>
      </c>
      <c r="C36" s="27"/>
      <c r="D36" s="27" t="str">
        <f>IFERROR(VLOOKUP($D$31,全部資料!$A$2:$J$41,6,FALSE),"")</f>
        <v>有</v>
      </c>
      <c r="E36" s="27"/>
      <c r="F36" s="27"/>
    </row>
    <row r="37" spans="2:6" ht="18">
      <c r="B37" s="27" t="s">
        <v>5</v>
      </c>
      <c r="C37" s="27"/>
      <c r="D37" s="27" t="str">
        <f>IFERROR(VLOOKUP($D$31,全部資料!$A$2:$J$41,7,FALSE),"")</f>
        <v>有</v>
      </c>
      <c r="E37" s="27"/>
      <c r="F37" s="27"/>
    </row>
    <row r="38" spans="2:6" ht="18">
      <c r="B38" s="27" t="s">
        <v>6</v>
      </c>
      <c r="C38" s="27"/>
      <c r="D38" s="27" t="str">
        <f>IFERROR(VLOOKUP($D$31,全部資料!$A$2:$J$41,8,FALSE),"")</f>
        <v>不限時</v>
      </c>
      <c r="E38" s="27"/>
      <c r="F38" s="27"/>
    </row>
    <row r="39" spans="2:6" ht="18">
      <c r="B39" s="27" t="s">
        <v>169</v>
      </c>
      <c r="C39" s="27"/>
      <c r="D39" s="27">
        <f>IFERROR(VLOOKUP($D$31,全部資料!$A$2:$J$41,9,FALSE),"")</f>
        <v>4.3</v>
      </c>
      <c r="E39" s="27"/>
      <c r="F39" s="27"/>
    </row>
    <row r="40" spans="2:6" ht="54" customHeight="1">
      <c r="B40" s="27" t="s">
        <v>170</v>
      </c>
      <c r="C40" s="27"/>
      <c r="D40" s="27" t="str">
        <f>IFERROR(VLOOKUP($D$31,全部資料!$A$2:$J$41,10,FALSE),"")</f>
        <v>https://maps.app.goo.gl/iKyiyWTL2bf3Zu8E8</v>
      </c>
      <c r="E40" s="27"/>
      <c r="F40" s="27"/>
    </row>
  </sheetData>
  <mergeCells count="32">
    <mergeCell ref="D39:F39"/>
    <mergeCell ref="D40:F40"/>
    <mergeCell ref="B32:C32"/>
    <mergeCell ref="B33:C33"/>
    <mergeCell ref="B34:C34"/>
    <mergeCell ref="B35:C35"/>
    <mergeCell ref="B36:C36"/>
    <mergeCell ref="B37:C37"/>
    <mergeCell ref="B38:C38"/>
    <mergeCell ref="B39:C39"/>
    <mergeCell ref="B40:C40"/>
    <mergeCell ref="D34:F34"/>
    <mergeCell ref="D35:F35"/>
    <mergeCell ref="D36:F36"/>
    <mergeCell ref="D37:F37"/>
    <mergeCell ref="D38:F38"/>
    <mergeCell ref="B31:C31"/>
    <mergeCell ref="D31:F31"/>
    <mergeCell ref="D32:F32"/>
    <mergeCell ref="D33:F33"/>
    <mergeCell ref="B30:F30"/>
    <mergeCell ref="B5:C5"/>
    <mergeCell ref="B2:I2"/>
    <mergeCell ref="D5:E5"/>
    <mergeCell ref="B3:I3"/>
    <mergeCell ref="B8:C8"/>
    <mergeCell ref="D8:E8"/>
    <mergeCell ref="B9:I9"/>
    <mergeCell ref="D6:E6"/>
    <mergeCell ref="B6:C6"/>
    <mergeCell ref="D7:E7"/>
    <mergeCell ref="B7:C7"/>
  </mergeCells>
  <phoneticPr fontId="9" type="noConversion"/>
  <conditionalFormatting sqref="I11:I14">
    <cfRule type="cellIs" dxfId="2" priority="1" stopIfTrue="1" operator="greaterThanOrEqual">
      <formula>4.7</formula>
    </cfRule>
    <cfRule type="cellIs" dxfId="1" priority="2" stopIfTrue="1" operator="between">
      <formula>4.4</formula>
      <formula>4.6</formula>
    </cfRule>
    <cfRule type="cellIs" dxfId="0" priority="3" stopIfTrue="1" operator="lessThanOrEqual">
      <formula>4.3</formula>
    </cfRule>
  </conditionalFormatting>
  <dataValidations count="4">
    <dataValidation type="list" errorTitle="無效輸入" error="請從下拉選單中選擇" sqref="D5" ns2:uid="{00000000-0002-0000-0400-000000000000}">
      <formula1>"不限,150元以下,150-200元,200元以上"</formula1>
    </dataValidation>
    <dataValidation type="list" errorTitle="無效輸入" error="請從下拉選單中選擇" sqref="D6" ns2:uid="{00000000-0002-0000-0400-000001000000}">
      <formula1>"不限,15分鐘以內,15-30分鐘,30-45分鐘,45分鐘以上"</formula1>
    </dataValidation>
    <dataValidation type="list" errorTitle="無效輸入" error="請從下拉選單中選擇" sqref="D7" ns2:uid="{00000000-0002-0000-0400-000002000000}">
      <formula1>"不拘,不限時,有限時"</formula1>
    </dataValidation>
    <dataValidation type="list" allowBlank="1" showInputMessage="1" showErrorMessage="1" sqref="D8:E8" ns2:uid="{2FC5C6A3-2804-4D24-BD4D-00FAB78EC06E}">
      <formula1>"不限,新店區,文山區,大安區"</formula1>
    </dataValidation>
  </dataValidations>
  <hyperlinks>
    <hyperlink ref="C11" ns3:id="rId1" tooltip="點擊開啟 Google Maps" ns2:uid="{38C534A5-A1AA-4FAA-BF38-93124D1C53F9}"/>
    <hyperlink ref="C12" ns3:id="rId2" tooltip="點擊開啟 Google Maps" ns2:uid="{A3513BAA-E34B-4404-BE87-8BA399C0C9B7}"/>
    <hyperlink ref="C13" ns3:id="rId3" tooltip="點擊開啟 Google Maps" ns2:uid="{F35A5A0C-1E39-449F-98F0-7253D1235D1A}"/>
    <hyperlink ref="C14" ns3:id="rId4" tooltip="點擊開啟 Google Maps" ns2:uid="{B06E15F6-CF45-4CCA-B194-4C1B1840F5F9}"/>
  </hyperlinks>
  <pageMargins left="0.75" right="0.75" top="1" bottom="1" header="0.5" footer="0.5"/>
  <pageSetup paperSize="9" orientation="portrait" horizontalDpi="204" verticalDpi="192" ns3:id="rId5"/>
  <drawing ns3:id="rId6"/>
  <legacyDrawing ns3:id="rId7"/>
  <ns1:AlternateContent>
    <ns1:Choice Requires="x14">
      <controls>
        <ns1:AlternateContent>
          <ns1:Choice Requires="x14">
            <control shapeId="1026" ns3:id="rId8" name="Button 2">
              <controlPr defaultSize="0" print="0" autoFill="0" autoPict="0" macro="[0]!搜尋咖啡廳">
                <anchor moveWithCells="1" sizeWithCells="1">
                  <from>
                    <ns4:col>7</ns4:col>
                    <ns4:colOff>1212850</ns4:colOff>
                    <ns4:row>4</ns4:row>
                    <ns4:rowOff>31750</ns4:rowOff>
                  </from>
                  <to>
                    <ns4:col>8</ns4:col>
                    <ns4:colOff>628650</ns4:colOff>
                    <ns4:row>5</ns4:row>
                    <ns4:rowOff>38100</ns4:rowOff>
                  </to>
                </anchor>
              </controlPr>
            </control>
          </ns1:Choice>
        </ns1:AlternateContent>
        <ns1:AlternateContent>
          <ns1:Choice Requires="x14">
            <control shapeId="1027" ns3:id="rId9" name="Button 3">
              <controlPr defaultSize="0" print="0" autoFill="0" autoPict="0" macro="[0]!清除結果">
                <anchor moveWithCells="1" sizeWithCells="1">
                  <from>
                    <ns4:col>7</ns4:col>
                    <ns4:colOff>1212850</ns4:colOff>
                    <ns4:row>5</ns4:row>
                    <ns4:rowOff>120650</ns4:rowOff>
                  </from>
                  <to>
                    <ns4:col>8</ns4:col>
                    <ns4:colOff>628650</ns4:colOff>
                    <ns4:row>6</ns4:row>
                    <ns4:rowOff>101600</ns4:rowOff>
                  </to>
                </anchor>
              </controlPr>
            </control>
          </ns1:Choice>
        </ns1:AlternateContent>
        <ns1:AlternateContent>
          <ns1:Choice Requires="x14">
            <control shapeId="1028" ns3:id="rId10" name="Button 4">
              <controlPr defaultSize="0" print="0" autoFill="0" autoPict="0" macro="[0]!顯示全部咖啡廳">
                <anchor moveWithCells="1" sizeWithCells="1">
                  <from>
                    <ns4:col>7</ns4:col>
                    <ns4:colOff>1212850</ns4:colOff>
                    <ns4:row>7</ns4:row>
                    <ns4:rowOff>0</ns4:rowOff>
                  </from>
                  <to>
                    <ns4:col>8</ns4:col>
                    <ns4:colOff>635000</ns4:colOff>
                    <ns4:row>7</ns4:row>
                    <ns4:rowOff>139700</ns4:rowOff>
                  </to>
                </anchor>
              </controlPr>
            </control>
          </ns1:Choice>
        </ns1:AlternateContent>
      </controls>
    </ns1:Choice>
  </ns1:AlternateContent>
  <extLst>
    <ext uri="{CCE6A557-97BC-4b89-ADB6-D9C93CAAB3DF}">
      <ns5:dataValidations count="1">
        <ns5:dataValidation type="list" allowBlank="1" showInputMessage="1" showErrorMessage="1" ns2:uid="{9A4288E5-36C9-4DFC-82BA-DD14BD029F09}">
          <ns5:formula1>
            <ns6:f>全部資料!$A$2:$A$100</ns6:f>
          </ns5:formula1>
          <ns6:sqref>D31:F31</ns6:sqref>
        </ns5:dataValidation>
      </ns5:dataValidations>
    </ext>
  </extLst>
</worksheet>
</file>

<file path=xl/worksheets/sheet3.xml><?xml version="1.0" encoding="utf-8"?>
<worksheet xmlns="http://schemas.openxmlformats.org/spreadsheetml/2006/main" xmlns:ns1="http://schemas.openxmlformats.org/markup-compatibility/2006" xmlns:ns2="http://schemas.microsoft.com/office/spreadsheetml/2014/revision" xmlns:ns3="http://schemas.openxmlformats.org/officeDocument/2006/relationships" ns1:Ignorable="x14ac xr xr2 xr3" ns2:uid="{00000000-0001-0000-0500-000000000000}">
  <sheetPr codeName="工作表6"/>
  <dimension ref="B2:G40"/>
  <sheetViews>
    <sheetView zoomScale="66" workbookViewId="0">
      <selection activeCell="E24" sqref="E24"/>
    </sheetView>
  </sheetViews>
  <sheetFormatPr defaultRowHeight="14.5"/>
  <cols>
    <col min="1" max="1" width="3" customWidth="1"/>
    <col min="2" max="2" width="48.3984375" bestFit="1" customWidth="1"/>
    <col min="3" max="3" width="28.8984375" bestFit="1" customWidth="1"/>
    <col min="4" max="4" width="33.3984375" bestFit="1" customWidth="1"/>
    <col min="5" max="5" width="18" customWidth="1"/>
    <col min="6" max="7" width="12" customWidth="1"/>
  </cols>
  <sheetData>
    <row r="2" spans="2:7" ht="18.5">
      <c r="B2" s="9" t="s">
        <v>111</v>
      </c>
    </row>
    <row r="3" spans="2:7">
      <c r="B3" s="1" t="s">
        <v>99</v>
      </c>
      <c r="C3" s="1" t="s">
        <v>112</v>
      </c>
      <c r="D3" s="1" t="s">
        <v>113</v>
      </c>
      <c r="E3" s="1" t="s">
        <v>114</v>
      </c>
      <c r="F3" s="1" t="s">
        <v>115</v>
      </c>
      <c r="G3" s="1" t="s">
        <v>116</v>
      </c>
    </row>
    <row r="4" spans="2:7">
      <c r="B4" s="5" t="s">
        <v>100</v>
      </c>
      <c r="C4" s="5">
        <f>COUNTIF(全部資料!$B$2:$B$41,"新店區")</f>
        <v>10</v>
      </c>
      <c r="D4" s="5">
        <f>ROUND(AVERAGEIF(全部資料!$B$2:$B$41,"新店區",全部資料!$I$2:$I$41),2)</f>
        <v>4.62</v>
      </c>
      <c r="E4" s="5">
        <f>ROUND(AVERAGEIF(全部資料!$B$2:$B$41,"新店區",全部資料!$E$2:$E$41),0)</f>
        <v>136</v>
      </c>
      <c r="F4" s="5" cm="1">
        <f t="array" ref="F4">MAX(IF(全部資料!$B$2:$B$41="新店區",全部資料!$I$2:$I$41))</f>
        <v>4.9000000000000004</v>
      </c>
      <c r="G4" s="5" cm="1">
        <f t="array" ref="G4">MIN(IF(全部資料!$B$2:$B$41="新店區",全部資料!$I$2:$I$41))</f>
        <v>4.2</v>
      </c>
    </row>
    <row r="5" spans="2:7">
      <c r="B5" s="5" t="s">
        <v>101</v>
      </c>
      <c r="C5" s="5">
        <f>COUNTIF(全部資料!$B$2:$B$41,"文山區")</f>
        <v>10</v>
      </c>
      <c r="D5" s="5">
        <f>ROUND(AVERAGEIF(全部資料!$B$2:$B$41,"文山區",全部資料!$I$2:$I$41),2)</f>
        <v>4.63</v>
      </c>
      <c r="E5" s="5">
        <f>ROUND(AVERAGEIF(全部資料!$B$2:$B$41,"文山區",全部資料!$E$2:$E$41),0)</f>
        <v>166</v>
      </c>
      <c r="F5" s="5" cm="1">
        <f t="array" ref="F5">MAX(IF(全部資料!$B$2:$B$41="文山區",全部資料!$I$2:$I$41))</f>
        <v>5</v>
      </c>
      <c r="G5" s="5" cm="1">
        <f t="array" ref="G5">MIN(IF(全部資料!$B$2:$B$41="文山區",全部資料!$I$2:$I$41))</f>
        <v>4.2</v>
      </c>
    </row>
    <row r="6" spans="2:7" ht="15">
      <c r="B6" s="5" t="s">
        <v>102</v>
      </c>
      <c r="C6" s="5">
        <f>COUNTIF(全部資料!$B$2:$B$41,"大安區")</f>
        <v>20</v>
      </c>
      <c r="D6" s="5">
        <f>ROUND(AVERAGEIF(全部資料!$B$2:$B$41,"大安區",全部資料!$I$2:$I$41),2)</f>
        <v>4.45</v>
      </c>
      <c r="E6" s="5">
        <f>ROUND(AVERAGEIF(全部資料!$B$2:$B$41,"大安區",全部資料!$E$2:$E$41),0)</f>
        <v>169</v>
      </c>
      <c r="F6" s="16" cm="1">
        <f t="array" ref="F6">MAX(IF(全部資料!$B$2:$B$41="大安區",全部資料!$I$2:$I$41))</f>
        <v>4.9000000000000004</v>
      </c>
      <c r="G6" s="5" cm="1">
        <f t="array" ref="G6">MIN(IF(全部資料!$B$2:$B$41="大安區",全部資料!$I$2:$I$41))</f>
        <v>4.0999999999999996</v>
      </c>
    </row>
    <row r="7" spans="2:7">
      <c r="B7" s="6" t="s">
        <v>117</v>
      </c>
      <c r="C7" s="6">
        <f>SUM(C4:C6)</f>
        <v>40</v>
      </c>
      <c r="D7" s="6">
        <f>ROUND(AVERAGE(全部資料!$I$2:$I$41),2)</f>
        <v>4.54</v>
      </c>
      <c r="E7" s="6">
        <f>ROUND(AVERAGE(全部資料!$E$2:$E$41),0)</f>
        <v>160</v>
      </c>
      <c r="F7" s="6">
        <f>MAX(全部資料!$I$2:$I$41)</f>
        <v>5</v>
      </c>
      <c r="G7" s="6">
        <f>MIN(全部資料!$I$2:$I$41)</f>
        <v>4.0999999999999996</v>
      </c>
    </row>
    <row r="9" spans="2:7" ht="18.5">
      <c r="B9" s="9" t="s">
        <v>118</v>
      </c>
    </row>
    <row r="10" spans="2:7">
      <c r="B10" s="1" t="s">
        <v>119</v>
      </c>
      <c r="C10" s="1" t="s">
        <v>120</v>
      </c>
      <c r="D10" s="1" t="s">
        <v>121</v>
      </c>
    </row>
    <row r="11" spans="2:7">
      <c r="B11" s="5" t="s">
        <v>122</v>
      </c>
      <c r="C11" s="5">
        <f>COUNTIF(全部資料!$E$2:$E$41,"&lt;=120")</f>
        <v>5</v>
      </c>
      <c r="D11" s="5" t="str">
        <f>IFERROR(ROUND(C11/SUM($C$11:$C$14)*100,1)&amp;"%","")</f>
        <v>12.5%</v>
      </c>
    </row>
    <row r="12" spans="2:7">
      <c r="B12" s="5" t="s">
        <v>123</v>
      </c>
      <c r="C12" s="5">
        <f>COUNTIFS(全部資料!$E$2:$E$41,"&gt;120",全部資料!$E$2:$E$41,"&lt;=150")</f>
        <v>11</v>
      </c>
      <c r="D12" s="5" t="str">
        <f>IFERROR(ROUND(C12/SUM($C$11:$C$14)*100,1)&amp;"%","")</f>
        <v>27.5%</v>
      </c>
    </row>
    <row r="13" spans="2:7">
      <c r="B13" s="5" t="s">
        <v>124</v>
      </c>
      <c r="C13" s="5">
        <f>COUNTIFS(全部資料!$E$2:$E$41,"&gt;150",全部資料!$E$2:$E$41,"&lt;=180")</f>
        <v>20</v>
      </c>
      <c r="D13" s="5" t="str">
        <f>IFERROR(ROUND(C13/SUM($C$11:$C$14)*100,1)&amp;"%","")</f>
        <v>50%</v>
      </c>
    </row>
    <row r="14" spans="2:7">
      <c r="B14" s="5" t="s">
        <v>125</v>
      </c>
      <c r="C14" s="5">
        <f>COUNTIFS(全部資料!$E$2:$E$41,"&gt;180")</f>
        <v>4</v>
      </c>
      <c r="D14" s="5" t="str">
        <f>IFERROR(ROUND(C14/SUM($C$11:$C$14)*100,1)&amp;"%","")</f>
        <v>10%</v>
      </c>
    </row>
    <row r="16" spans="2:7" ht="18.5">
      <c r="B16" s="9" t="s">
        <v>126</v>
      </c>
    </row>
    <row r="17" spans="2:4">
      <c r="B17" s="1" t="s">
        <v>127</v>
      </c>
      <c r="C17" s="1" t="s">
        <v>120</v>
      </c>
      <c r="D17" s="1" t="s">
        <v>121</v>
      </c>
    </row>
    <row r="18" spans="2:4">
      <c r="B18" s="5" t="s">
        <v>128</v>
      </c>
      <c r="C18" s="5">
        <f>COUNTIF(全部資料!$I$2:$I$41,"&lt;4")</f>
        <v>0</v>
      </c>
      <c r="D18" s="5" t="str">
        <f>IFERROR(ROUND(C18/SUM($C$18:$C$22)*100,1)&amp;"%","")</f>
        <v>0%</v>
      </c>
    </row>
    <row r="19" spans="2:4">
      <c r="B19" s="5" t="s">
        <v>129</v>
      </c>
      <c r="C19" s="5">
        <f>COUNTIFS(全部資料!$I$2:$I$41,"&gt;=4",全部資料!$I$2:$I$41,"&lt;=4.3")</f>
        <v>12</v>
      </c>
      <c r="D19" s="5" t="str">
        <f>IFERROR(ROUND(C19/SUM($C$18:$C$22)*100,1)&amp;"%","")</f>
        <v>30%</v>
      </c>
    </row>
    <row r="20" spans="2:4">
      <c r="B20" s="5" t="s">
        <v>130</v>
      </c>
      <c r="C20" s="5">
        <f>COUNTIFS(全部資料!$I$2:$I$41,"&gt;=4.4",全部資料!$I$2:$I$41,"&lt;=4.6")</f>
        <v>13</v>
      </c>
      <c r="D20" s="5" t="str">
        <f>IFERROR(ROUND(C20/SUM($C$18:$C$22)*100,1)&amp;"%","")</f>
        <v>32.5%</v>
      </c>
    </row>
    <row r="21" spans="2:4">
      <c r="B21" s="5" t="s">
        <v>131</v>
      </c>
      <c r="C21" s="5">
        <f>COUNTIFS(全部資料!$I$2:$I$41,"&gt;=4.7",全部資料!$I$2:$I$41,"&lt;=4.9")</f>
        <v>14</v>
      </c>
      <c r="D21" s="5" t="str">
        <f>IFERROR(ROUND(C21/SUM($C$18:$C$22)*100,1)&amp;"%","")</f>
        <v>35%</v>
      </c>
    </row>
    <row r="22" spans="2:4">
      <c r="B22" s="5" t="s">
        <v>132</v>
      </c>
      <c r="C22" s="5">
        <f>COUNTIF(全部資料!$I$2:$I$41,"=5")</f>
        <v>1</v>
      </c>
      <c r="D22" s="5" t="str">
        <f>IFERROR(ROUND(C22/SUM($C$18:$C$22)*100,1)&amp;"%","")</f>
        <v>2.5%</v>
      </c>
    </row>
    <row r="24" spans="2:4" ht="18.5">
      <c r="B24" s="9" t="s">
        <v>133</v>
      </c>
    </row>
    <row r="25" spans="2:4">
      <c r="B25" s="1" t="s">
        <v>134</v>
      </c>
      <c r="C25" s="1" t="s">
        <v>120</v>
      </c>
      <c r="D25" s="1" t="s">
        <v>121</v>
      </c>
    </row>
    <row r="26" spans="2:4">
      <c r="B26" s="5" t="s">
        <v>20</v>
      </c>
      <c r="C26" s="5">
        <f>COUNTIF(全部資料!$H$2:$H$41,"不限時")</f>
        <v>23</v>
      </c>
      <c r="D26" s="5" t="str">
        <f>IFERROR(ROUND(C26/SUM($C$26:$C$27)*100,1)&amp;"%","")</f>
        <v>57.5%</v>
      </c>
    </row>
    <row r="27" spans="2:4">
      <c r="B27" s="5" t="s">
        <v>135</v>
      </c>
      <c r="C27" s="5">
        <f>COUNTIF(全部資料!$H$2:$H$41,"有限時*")</f>
        <v>17</v>
      </c>
      <c r="D27" s="5" t="str">
        <f>IFERROR(ROUND(C27/SUM($C$26:$C$27)*100,1)&amp;"%","")</f>
        <v>42.5%</v>
      </c>
    </row>
    <row r="29" spans="2:4" ht="18.5">
      <c r="B29" s="9" t="s">
        <v>136</v>
      </c>
    </row>
    <row r="30" spans="2:4">
      <c r="B30" s="1" t="s">
        <v>137</v>
      </c>
      <c r="C30" s="1" t="s">
        <v>138</v>
      </c>
      <c r="D30" s="1" t="s">
        <v>139</v>
      </c>
    </row>
    <row r="31" spans="2:4">
      <c r="B31" s="4" t="s">
        <v>140</v>
      </c>
      <c r="C31" s="5">
        <f>COUNTIFS(全部資料!$I$2:$I$41,"&gt;=4.5",全部資料!$E$2:$E$41,"&lt;=150")</f>
        <v>14</v>
      </c>
      <c r="D31" s="5" t="s">
        <v>141</v>
      </c>
    </row>
    <row r="32" spans="2:4">
      <c r="B32" s="2" t="s">
        <v>142</v>
      </c>
      <c r="C32" s="3" t="str" cm="1">
        <f t="array" ref="C32">INDEX(全部資料!$A$2:$A$41,MATCH(1,(全部資料!$H$2:$H$41="不限時")*(全部資料!$I$2:$I$41=MAX(IF(全部資料!$H$2:$H$41="不限時",全部資料!$I$2:$I$41))),0))</f>
        <v>周詮咖啡 Roundful Cafe</v>
      </c>
      <c r="D32" s="3" t="s">
        <v>143</v>
      </c>
    </row>
    <row r="33" spans="2:4">
      <c r="B33" s="4" t="s">
        <v>144</v>
      </c>
      <c r="C33" s="5" t="str" cm="1">
        <f t="array" ref="C33">INDEX(全部資料!$A$2:$A$41,MATCH(1,(全部資料!$B$2:$B$41="文山區")*(全部資料!$E$2:$E$41=MIN(IF(全部資料!$B$2:$B$41="文山區",全部資料!$E$2:$E$41))),0))</f>
        <v>嬌嬌咖啡</v>
      </c>
      <c r="D33" s="5" t="s">
        <v>145</v>
      </c>
    </row>
    <row r="34" spans="2:4">
      <c r="B34" s="2" t="s">
        <v>146</v>
      </c>
      <c r="C34" s="3" t="str">
        <f>ROUND(AVERAGE(全部資料!$D$2:$D$41),1)&amp;" 分鐘"</f>
        <v>34.9 分鐘</v>
      </c>
      <c r="D34" s="3" t="s">
        <v>147</v>
      </c>
    </row>
    <row r="35" spans="2:4">
      <c r="B35" s="4" t="s">
        <v>148</v>
      </c>
      <c r="C35" s="5">
        <f>COUNTIF(全部資料!$D$2:$D$41,"&lt;=15")</f>
        <v>4</v>
      </c>
      <c r="D35" s="5" t="s">
        <v>149</v>
      </c>
    </row>
    <row r="36" spans="2:4">
      <c r="B36" s="2" t="s">
        <v>150</v>
      </c>
      <c r="C36" s="3">
        <f>COUNTIFS(全部資料!$B$2:$B$41,"大安區",全部資料!$H$2:$H$41,"不限時")</f>
        <v>15</v>
      </c>
      <c r="D36" s="3" t="s">
        <v>151</v>
      </c>
    </row>
    <row r="37" spans="2:4">
      <c r="B37" s="4" t="s">
        <v>152</v>
      </c>
      <c r="C37" s="5" t="str">
        <f>ROUND(AVERAGEIF(全部資料!$I$2:$I$41,"&gt;="&amp;LARGE(全部資料!$I$2:$I$41,3),全部資料!$E$2:$E$41),0)&amp;" 元"</f>
        <v>149 元</v>
      </c>
      <c r="D37" s="5" t="s">
        <v>153</v>
      </c>
    </row>
    <row r="38" spans="2:4">
      <c r="B38" s="2" t="s">
        <v>154</v>
      </c>
      <c r="C38" s="3">
        <f>COUNTIFS(全部資料!$F$2:$F$41,"有",全部資料!$G$2:$G$41,"有")</f>
        <v>32</v>
      </c>
      <c r="D38" s="3" t="s">
        <v>141</v>
      </c>
    </row>
    <row r="39" spans="2:4">
      <c r="B39" s="4" t="s">
        <v>155</v>
      </c>
      <c r="C39" s="5">
        <f>ROUND(STDEV(全部資料!$I$2:$I$41),3)</f>
        <v>0.24199999999999999</v>
      </c>
      <c r="D39" s="5" t="s">
        <v>156</v>
      </c>
    </row>
    <row r="40" spans="2:4">
      <c r="B40" s="2" t="s">
        <v>157</v>
      </c>
      <c r="C40" s="3">
        <f>MEDIAN(全部資料!$I$2:$I$41)</f>
        <v>4.5</v>
      </c>
      <c r="D40" s="3" t="s">
        <v>158</v>
      </c>
    </row>
  </sheetData>
  <phoneticPr fontId="9" type="noConversion"/>
  <pageMargins left="0.75" right="0.75" top="1" bottom="1" header="0.5" footer="0.5"/>
  <pageSetup paperSize="9" orientation="portrait" horizontalDpi="204" verticalDpi="192" ns3:id="rId1"/>
  <drawing ns3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4"/>
  <dimension ref="A1:J41"/>
  <sheetViews>
    <sheetView workbookViewId="0">
      <selection activeCell="I1" activeCellId="1" sqref="E1:E1048576 I1:I1048576"/>
    </sheetView>
  </sheetViews>
  <sheetFormatPr defaultRowHeight="14.5"/>
  <cols>
    <col min="1" max="1" width="28" customWidth="1"/>
    <col min="2" max="2" width="10" customWidth="1"/>
    <col min="3" max="5" width="14" customWidth="1"/>
    <col min="6" max="7" width="10" customWidth="1"/>
    <col min="8" max="8" width="55.8984375" bestFit="1" customWidth="1"/>
    <col min="9" max="9" width="13.796875" bestFit="1" customWidth="1"/>
    <col min="10" max="10" width="65.19921875" bestFit="1" customWidth="1"/>
  </cols>
  <sheetData>
    <row r="1" spans="1:10">
      <c r="A1" s="1" t="s">
        <v>0</v>
      </c>
      <c r="B1" s="1" t="s">
        <v>99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</row>
    <row r="2" spans="1:10">
      <c r="A2" s="2" t="s">
        <v>9</v>
      </c>
      <c r="B2" s="3" t="s">
        <v>100</v>
      </c>
      <c r="C2" s="3">
        <v>6</v>
      </c>
      <c r="D2" s="3">
        <v>34</v>
      </c>
      <c r="E2" s="3">
        <v>170</v>
      </c>
      <c r="F2" s="3" t="s">
        <v>10</v>
      </c>
      <c r="G2" s="3" t="s">
        <v>11</v>
      </c>
      <c r="H2" s="3" t="s">
        <v>12</v>
      </c>
      <c r="I2" s="3">
        <v>4.7</v>
      </c>
      <c r="J2" s="3" t="s">
        <v>13</v>
      </c>
    </row>
    <row r="3" spans="1:10">
      <c r="A3" s="4" t="s">
        <v>14</v>
      </c>
      <c r="B3" s="5" t="s">
        <v>100</v>
      </c>
      <c r="C3" s="5">
        <v>4.0999999999999996</v>
      </c>
      <c r="D3" s="5">
        <v>23</v>
      </c>
      <c r="E3" s="5">
        <v>150</v>
      </c>
      <c r="F3" s="5" t="s">
        <v>10</v>
      </c>
      <c r="G3" s="5" t="s">
        <v>10</v>
      </c>
      <c r="H3" s="5" t="s">
        <v>15</v>
      </c>
      <c r="I3" s="5">
        <v>4.5999999999999996</v>
      </c>
      <c r="J3" s="5" t="s">
        <v>16</v>
      </c>
    </row>
    <row r="4" spans="1:10">
      <c r="A4" s="2" t="s">
        <v>17</v>
      </c>
      <c r="B4" s="3" t="s">
        <v>100</v>
      </c>
      <c r="C4" s="3">
        <v>4</v>
      </c>
      <c r="D4" s="3">
        <v>23</v>
      </c>
      <c r="E4" s="3">
        <v>130</v>
      </c>
      <c r="F4" s="3" t="s">
        <v>10</v>
      </c>
      <c r="G4" s="3" t="s">
        <v>10</v>
      </c>
      <c r="H4" s="3" t="s">
        <v>15</v>
      </c>
      <c r="I4" s="3">
        <v>4.8</v>
      </c>
      <c r="J4" s="3" t="s">
        <v>18</v>
      </c>
    </row>
    <row r="5" spans="1:10">
      <c r="A5" s="4" t="s">
        <v>19</v>
      </c>
      <c r="B5" s="5" t="s">
        <v>100</v>
      </c>
      <c r="C5" s="5">
        <v>5.2</v>
      </c>
      <c r="D5" s="5">
        <v>29</v>
      </c>
      <c r="E5" s="5">
        <v>120</v>
      </c>
      <c r="F5" s="5" t="s">
        <v>11</v>
      </c>
      <c r="G5" s="5" t="s">
        <v>10</v>
      </c>
      <c r="H5" s="5" t="s">
        <v>20</v>
      </c>
      <c r="I5" s="5">
        <v>4.7</v>
      </c>
      <c r="J5" s="5" t="s">
        <v>21</v>
      </c>
    </row>
    <row r="6" spans="1:10">
      <c r="A6" s="2" t="s">
        <v>22</v>
      </c>
      <c r="B6" s="3" t="s">
        <v>100</v>
      </c>
      <c r="C6" s="3">
        <v>5.5</v>
      </c>
      <c r="D6" s="3">
        <v>29</v>
      </c>
      <c r="E6" s="3">
        <v>130</v>
      </c>
      <c r="F6" s="3" t="s">
        <v>10</v>
      </c>
      <c r="G6" s="3" t="s">
        <v>10</v>
      </c>
      <c r="H6" s="3" t="s">
        <v>23</v>
      </c>
      <c r="I6" s="3">
        <v>4.7</v>
      </c>
      <c r="J6" s="3" t="s">
        <v>24</v>
      </c>
    </row>
    <row r="7" spans="1:10">
      <c r="A7" s="4" t="s">
        <v>25</v>
      </c>
      <c r="B7" s="5" t="s">
        <v>100</v>
      </c>
      <c r="C7" s="5">
        <v>4.7</v>
      </c>
      <c r="D7" s="5">
        <v>25</v>
      </c>
      <c r="E7" s="5">
        <v>130</v>
      </c>
      <c r="F7" s="5" t="s">
        <v>10</v>
      </c>
      <c r="G7" s="5" t="s">
        <v>10</v>
      </c>
      <c r="H7" s="5" t="s">
        <v>15</v>
      </c>
      <c r="I7" s="5">
        <v>4.9000000000000004</v>
      </c>
      <c r="J7" s="5" t="s">
        <v>26</v>
      </c>
    </row>
    <row r="8" spans="1:10">
      <c r="A8" s="2" t="s">
        <v>27</v>
      </c>
      <c r="B8" s="3" t="s">
        <v>100</v>
      </c>
      <c r="C8" s="3">
        <v>12.3</v>
      </c>
      <c r="D8" s="3">
        <v>47</v>
      </c>
      <c r="E8" s="3">
        <v>120</v>
      </c>
      <c r="F8" s="3" t="s">
        <v>10</v>
      </c>
      <c r="G8" s="3" t="s">
        <v>10</v>
      </c>
      <c r="H8" s="3" t="s">
        <v>20</v>
      </c>
      <c r="I8" s="3">
        <v>4.5</v>
      </c>
      <c r="J8" s="3" t="s">
        <v>28</v>
      </c>
    </row>
    <row r="9" spans="1:10">
      <c r="A9" s="4" t="s">
        <v>161</v>
      </c>
      <c r="B9" s="5" t="s">
        <v>100</v>
      </c>
      <c r="C9" s="5">
        <v>5.2</v>
      </c>
      <c r="D9" s="5">
        <v>34</v>
      </c>
      <c r="E9" s="5">
        <v>110</v>
      </c>
      <c r="F9" s="5" t="s">
        <v>11</v>
      </c>
      <c r="G9" s="5" t="s">
        <v>10</v>
      </c>
      <c r="H9" s="5" t="s">
        <v>20</v>
      </c>
      <c r="I9" s="5">
        <v>4.3</v>
      </c>
      <c r="J9" s="5" t="s">
        <v>30</v>
      </c>
    </row>
    <row r="10" spans="1:10">
      <c r="A10" s="2" t="s">
        <v>31</v>
      </c>
      <c r="B10" s="3" t="s">
        <v>100</v>
      </c>
      <c r="C10" s="3">
        <v>7</v>
      </c>
      <c r="D10" s="3">
        <v>39</v>
      </c>
      <c r="E10" s="3">
        <v>175</v>
      </c>
      <c r="F10" s="3" t="s">
        <v>10</v>
      </c>
      <c r="G10" s="3" t="s">
        <v>10</v>
      </c>
      <c r="H10" s="3" t="s">
        <v>20</v>
      </c>
      <c r="I10" s="3">
        <v>4.2</v>
      </c>
      <c r="J10" s="3" t="s">
        <v>32</v>
      </c>
    </row>
    <row r="11" spans="1:10">
      <c r="A11" s="4" t="s">
        <v>33</v>
      </c>
      <c r="B11" s="5" t="s">
        <v>100</v>
      </c>
      <c r="C11" s="5">
        <v>13</v>
      </c>
      <c r="D11" s="5">
        <v>55</v>
      </c>
      <c r="E11" s="5">
        <v>120</v>
      </c>
      <c r="F11" s="5" t="s">
        <v>10</v>
      </c>
      <c r="G11" s="5" t="s">
        <v>10</v>
      </c>
      <c r="H11" s="5" t="s">
        <v>34</v>
      </c>
      <c r="I11" s="5">
        <v>4.8</v>
      </c>
      <c r="J11" s="5" t="s">
        <v>35</v>
      </c>
    </row>
    <row r="12" spans="1:10">
      <c r="A12" s="2" t="s">
        <v>36</v>
      </c>
      <c r="B12" s="3" t="s">
        <v>101</v>
      </c>
      <c r="C12" s="3">
        <v>0.5</v>
      </c>
      <c r="D12" s="3">
        <v>0</v>
      </c>
      <c r="E12" s="3">
        <v>150</v>
      </c>
      <c r="F12" s="3" t="s">
        <v>10</v>
      </c>
      <c r="G12" s="3" t="s">
        <v>10</v>
      </c>
      <c r="H12" s="3" t="s">
        <v>20</v>
      </c>
      <c r="I12" s="3">
        <v>4.7</v>
      </c>
      <c r="J12" s="3" t="s">
        <v>37</v>
      </c>
    </row>
    <row r="13" spans="1:10">
      <c r="A13" s="4" t="s">
        <v>38</v>
      </c>
      <c r="B13" s="5" t="s">
        <v>101</v>
      </c>
      <c r="C13" s="5">
        <v>4.3</v>
      </c>
      <c r="D13" s="5">
        <v>23</v>
      </c>
      <c r="E13" s="5">
        <v>135</v>
      </c>
      <c r="F13" s="5" t="s">
        <v>10</v>
      </c>
      <c r="G13" s="5" t="s">
        <v>11</v>
      </c>
      <c r="H13" s="5" t="s">
        <v>39</v>
      </c>
      <c r="I13" s="5">
        <v>4.5</v>
      </c>
      <c r="J13" s="5" t="s">
        <v>40</v>
      </c>
    </row>
    <row r="14" spans="1:10">
      <c r="A14" s="2" t="s">
        <v>41</v>
      </c>
      <c r="B14" s="3" t="s">
        <v>101</v>
      </c>
      <c r="C14" s="3">
        <v>4.0999999999999996</v>
      </c>
      <c r="D14" s="3">
        <v>23</v>
      </c>
      <c r="E14" s="3">
        <v>150</v>
      </c>
      <c r="F14" s="3" t="s">
        <v>10</v>
      </c>
      <c r="G14" s="3" t="s">
        <v>10</v>
      </c>
      <c r="H14" s="3" t="s">
        <v>20</v>
      </c>
      <c r="I14" s="3">
        <v>4.5999999999999996</v>
      </c>
      <c r="J14" s="3" t="s">
        <v>42</v>
      </c>
    </row>
    <row r="15" spans="1:10">
      <c r="A15" s="4" t="s">
        <v>43</v>
      </c>
      <c r="B15" s="5" t="s">
        <v>101</v>
      </c>
      <c r="C15" s="5">
        <v>5.8</v>
      </c>
      <c r="D15" s="5">
        <v>30</v>
      </c>
      <c r="E15" s="5">
        <v>175</v>
      </c>
      <c r="F15" s="5" t="s">
        <v>10</v>
      </c>
      <c r="G15" s="5" t="s">
        <v>10</v>
      </c>
      <c r="H15" s="5" t="s">
        <v>15</v>
      </c>
      <c r="I15" s="5">
        <v>4.2</v>
      </c>
      <c r="J15" s="5" t="s">
        <v>44</v>
      </c>
    </row>
    <row r="16" spans="1:10">
      <c r="A16" s="2" t="s">
        <v>45</v>
      </c>
      <c r="B16" s="3" t="s">
        <v>101</v>
      </c>
      <c r="C16" s="3">
        <v>5.6</v>
      </c>
      <c r="D16" s="3">
        <v>28</v>
      </c>
      <c r="E16" s="3">
        <v>175</v>
      </c>
      <c r="F16" s="3" t="s">
        <v>10</v>
      </c>
      <c r="G16" s="3" t="s">
        <v>10</v>
      </c>
      <c r="H16" s="3" t="s">
        <v>15</v>
      </c>
      <c r="I16" s="3">
        <v>4.5</v>
      </c>
      <c r="J16" s="3" t="s">
        <v>46</v>
      </c>
    </row>
    <row r="17" spans="1:10">
      <c r="A17" s="4" t="s">
        <v>47</v>
      </c>
      <c r="B17" s="5" t="s">
        <v>101</v>
      </c>
      <c r="C17" s="5">
        <v>2.2000000000000002</v>
      </c>
      <c r="D17" s="5">
        <v>18</v>
      </c>
      <c r="E17" s="5">
        <v>155</v>
      </c>
      <c r="F17" s="5" t="s">
        <v>10</v>
      </c>
      <c r="G17" s="5" t="s">
        <v>10</v>
      </c>
      <c r="H17" s="5" t="s">
        <v>12</v>
      </c>
      <c r="I17" s="5">
        <v>4.8</v>
      </c>
      <c r="J17" s="5" t="s">
        <v>48</v>
      </c>
    </row>
    <row r="18" spans="1:10">
      <c r="A18" s="2" t="s">
        <v>49</v>
      </c>
      <c r="B18" s="3" t="s">
        <v>101</v>
      </c>
      <c r="C18" s="3">
        <v>2.9</v>
      </c>
      <c r="D18" s="3">
        <v>16</v>
      </c>
      <c r="E18" s="3">
        <v>180</v>
      </c>
      <c r="F18" s="3" t="s">
        <v>10</v>
      </c>
      <c r="G18" s="3" t="s">
        <v>10</v>
      </c>
      <c r="H18" s="3" t="s">
        <v>50</v>
      </c>
      <c r="I18" s="3">
        <v>4.8</v>
      </c>
      <c r="J18" s="3" t="s">
        <v>51</v>
      </c>
    </row>
    <row r="19" spans="1:10">
      <c r="A19" s="4" t="s">
        <v>52</v>
      </c>
      <c r="B19" s="5" t="s">
        <v>101</v>
      </c>
      <c r="C19" s="5">
        <v>0.6</v>
      </c>
      <c r="D19" s="5">
        <v>0</v>
      </c>
      <c r="E19" s="5">
        <v>155</v>
      </c>
      <c r="F19" s="5" t="s">
        <v>10</v>
      </c>
      <c r="G19" s="5" t="s">
        <v>11</v>
      </c>
      <c r="H19" s="5" t="s">
        <v>20</v>
      </c>
      <c r="I19" s="5">
        <v>5</v>
      </c>
      <c r="J19" s="5" t="s">
        <v>53</v>
      </c>
    </row>
    <row r="20" spans="1:10">
      <c r="A20" s="2" t="s">
        <v>54</v>
      </c>
      <c r="B20" s="3" t="s">
        <v>101</v>
      </c>
      <c r="C20" s="3">
        <v>0.55000000000000004</v>
      </c>
      <c r="D20" s="3">
        <v>0</v>
      </c>
      <c r="E20" s="3">
        <v>230</v>
      </c>
      <c r="F20" s="3" t="s">
        <v>10</v>
      </c>
      <c r="G20" s="3" t="s">
        <v>10</v>
      </c>
      <c r="H20" s="3" t="s">
        <v>20</v>
      </c>
      <c r="I20" s="3">
        <v>4.5</v>
      </c>
      <c r="J20" s="3" t="s">
        <v>55</v>
      </c>
    </row>
    <row r="21" spans="1:10">
      <c r="A21" s="4" t="s">
        <v>56</v>
      </c>
      <c r="B21" s="5" t="s">
        <v>101</v>
      </c>
      <c r="C21" s="5">
        <v>0.95</v>
      </c>
      <c r="D21" s="5">
        <v>8</v>
      </c>
      <c r="E21" s="5">
        <v>150</v>
      </c>
      <c r="F21" s="5" t="s">
        <v>10</v>
      </c>
      <c r="G21" s="5" t="s">
        <v>11</v>
      </c>
      <c r="H21" s="5" t="s">
        <v>34</v>
      </c>
      <c r="I21" s="5">
        <v>4.7</v>
      </c>
      <c r="J21" s="5" t="s">
        <v>57</v>
      </c>
    </row>
    <row r="22" spans="1:10">
      <c r="A22" s="2" t="s">
        <v>58</v>
      </c>
      <c r="B22" s="3" t="s">
        <v>102</v>
      </c>
      <c r="C22" s="3">
        <v>6.5</v>
      </c>
      <c r="D22" s="3">
        <v>46</v>
      </c>
      <c r="E22" s="3">
        <v>200</v>
      </c>
      <c r="F22" s="3" t="s">
        <v>10</v>
      </c>
      <c r="G22" s="3" t="s">
        <v>10</v>
      </c>
      <c r="H22" s="3" t="s">
        <v>20</v>
      </c>
      <c r="I22" s="3">
        <v>4.0999999999999996</v>
      </c>
      <c r="J22" s="3" t="s">
        <v>59</v>
      </c>
    </row>
    <row r="23" spans="1:10">
      <c r="A23" s="4" t="s">
        <v>60</v>
      </c>
      <c r="B23" s="5" t="s">
        <v>102</v>
      </c>
      <c r="C23" s="5">
        <v>8.3000000000000007</v>
      </c>
      <c r="D23" s="5">
        <v>51</v>
      </c>
      <c r="E23" s="5">
        <v>180</v>
      </c>
      <c r="F23" s="5" t="s">
        <v>10</v>
      </c>
      <c r="G23" s="5" t="s">
        <v>10</v>
      </c>
      <c r="H23" s="5" t="s">
        <v>20</v>
      </c>
      <c r="I23" s="5">
        <v>4.3</v>
      </c>
      <c r="J23" s="5" t="s">
        <v>61</v>
      </c>
    </row>
    <row r="24" spans="1:10">
      <c r="A24" s="2" t="s">
        <v>62</v>
      </c>
      <c r="B24" s="3" t="s">
        <v>102</v>
      </c>
      <c r="C24" s="3">
        <v>7.4</v>
      </c>
      <c r="D24" s="3">
        <v>57</v>
      </c>
      <c r="E24" s="3">
        <v>175</v>
      </c>
      <c r="F24" s="3" t="s">
        <v>10</v>
      </c>
      <c r="G24" s="3" t="s">
        <v>10</v>
      </c>
      <c r="H24" s="3" t="s">
        <v>39</v>
      </c>
      <c r="I24" s="3">
        <v>4.5999999999999996</v>
      </c>
      <c r="J24" s="3" t="s">
        <v>63</v>
      </c>
    </row>
    <row r="25" spans="1:10">
      <c r="A25" s="4" t="s">
        <v>64</v>
      </c>
      <c r="B25" s="5" t="s">
        <v>102</v>
      </c>
      <c r="C25" s="5">
        <v>9.4</v>
      </c>
      <c r="D25" s="5">
        <v>55</v>
      </c>
      <c r="E25" s="5">
        <v>180</v>
      </c>
      <c r="F25" s="5" t="s">
        <v>10</v>
      </c>
      <c r="G25" s="5" t="s">
        <v>10</v>
      </c>
      <c r="H25" s="5" t="s">
        <v>20</v>
      </c>
      <c r="I25" s="5">
        <v>4.4000000000000004</v>
      </c>
      <c r="J25" s="5" t="s">
        <v>65</v>
      </c>
    </row>
    <row r="26" spans="1:10">
      <c r="A26" s="2" t="s">
        <v>66</v>
      </c>
      <c r="B26" s="3" t="s">
        <v>102</v>
      </c>
      <c r="C26" s="3">
        <v>9</v>
      </c>
      <c r="D26" s="3">
        <v>49</v>
      </c>
      <c r="E26" s="3">
        <v>170</v>
      </c>
      <c r="F26" s="3" t="s">
        <v>10</v>
      </c>
      <c r="G26" s="3" t="s">
        <v>10</v>
      </c>
      <c r="H26" s="3" t="s">
        <v>20</v>
      </c>
      <c r="I26" s="3">
        <v>4.8</v>
      </c>
      <c r="J26" s="3" t="s">
        <v>67</v>
      </c>
    </row>
    <row r="27" spans="1:10">
      <c r="A27" s="4" t="s">
        <v>68</v>
      </c>
      <c r="B27" s="5" t="s">
        <v>102</v>
      </c>
      <c r="C27" s="5">
        <v>8.4</v>
      </c>
      <c r="D27" s="5">
        <v>51</v>
      </c>
      <c r="E27" s="5">
        <v>105</v>
      </c>
      <c r="F27" s="5" t="s">
        <v>10</v>
      </c>
      <c r="G27" s="5" t="s">
        <v>10</v>
      </c>
      <c r="H27" s="5" t="s">
        <v>20</v>
      </c>
      <c r="I27" s="5">
        <v>4.5999999999999996</v>
      </c>
      <c r="J27" s="5" t="s">
        <v>69</v>
      </c>
    </row>
    <row r="28" spans="1:10">
      <c r="A28" s="2" t="s">
        <v>70</v>
      </c>
      <c r="B28" s="3" t="s">
        <v>102</v>
      </c>
      <c r="C28" s="3">
        <v>8.9</v>
      </c>
      <c r="D28" s="3">
        <v>48</v>
      </c>
      <c r="E28" s="3">
        <v>130</v>
      </c>
      <c r="F28" s="3" t="s">
        <v>10</v>
      </c>
      <c r="G28" s="3" t="s">
        <v>10</v>
      </c>
      <c r="H28" s="3" t="s">
        <v>20</v>
      </c>
      <c r="I28" s="3">
        <v>4.7</v>
      </c>
      <c r="J28" s="3" t="s">
        <v>71</v>
      </c>
    </row>
    <row r="29" spans="1:10">
      <c r="A29" s="4" t="s">
        <v>72</v>
      </c>
      <c r="B29" s="5" t="s">
        <v>102</v>
      </c>
      <c r="C29" s="5">
        <v>6.9</v>
      </c>
      <c r="D29" s="5">
        <v>38</v>
      </c>
      <c r="E29" s="5">
        <v>180</v>
      </c>
      <c r="F29" s="5" t="s">
        <v>10</v>
      </c>
      <c r="G29" s="5" t="s">
        <v>10</v>
      </c>
      <c r="H29" s="5" t="s">
        <v>39</v>
      </c>
      <c r="I29" s="5">
        <v>4.3</v>
      </c>
      <c r="J29" s="5" t="s">
        <v>73</v>
      </c>
    </row>
    <row r="30" spans="1:10">
      <c r="A30" s="2" t="s">
        <v>74</v>
      </c>
      <c r="B30" s="3" t="s">
        <v>102</v>
      </c>
      <c r="C30" s="3">
        <v>5.4</v>
      </c>
      <c r="D30" s="3">
        <v>44</v>
      </c>
      <c r="E30" s="3">
        <v>170</v>
      </c>
      <c r="F30" s="3" t="s">
        <v>10</v>
      </c>
      <c r="G30" s="3" t="s">
        <v>10</v>
      </c>
      <c r="H30" s="3" t="s">
        <v>20</v>
      </c>
      <c r="I30" s="3">
        <v>4.5</v>
      </c>
      <c r="J30" s="3" t="s">
        <v>75</v>
      </c>
    </row>
    <row r="31" spans="1:10">
      <c r="A31" s="4" t="s">
        <v>76</v>
      </c>
      <c r="B31" s="5" t="s">
        <v>102</v>
      </c>
      <c r="C31" s="5">
        <v>6.7</v>
      </c>
      <c r="D31" s="5">
        <v>43</v>
      </c>
      <c r="E31" s="5">
        <v>230</v>
      </c>
      <c r="F31" s="5" t="s">
        <v>10</v>
      </c>
      <c r="G31" s="5" t="s">
        <v>10</v>
      </c>
      <c r="H31" s="5" t="s">
        <v>39</v>
      </c>
      <c r="I31" s="5">
        <v>4.5</v>
      </c>
      <c r="J31" s="5" t="s">
        <v>77</v>
      </c>
    </row>
    <row r="32" spans="1:10">
      <c r="A32" s="2" t="s">
        <v>78</v>
      </c>
      <c r="B32" s="3" t="s">
        <v>102</v>
      </c>
      <c r="C32" s="3">
        <v>7.6</v>
      </c>
      <c r="D32" s="3">
        <v>42</v>
      </c>
      <c r="E32" s="3">
        <v>180</v>
      </c>
      <c r="F32" s="3" t="s">
        <v>10</v>
      </c>
      <c r="G32" s="3" t="s">
        <v>10</v>
      </c>
      <c r="H32" s="3" t="s">
        <v>20</v>
      </c>
      <c r="I32" s="3">
        <v>4.2</v>
      </c>
      <c r="J32" s="3" t="s">
        <v>79</v>
      </c>
    </row>
    <row r="33" spans="1:10">
      <c r="A33" s="4" t="s">
        <v>80</v>
      </c>
      <c r="B33" s="5" t="s">
        <v>102</v>
      </c>
      <c r="C33" s="5">
        <v>8.1999999999999993</v>
      </c>
      <c r="D33" s="5">
        <v>61</v>
      </c>
      <c r="E33" s="5">
        <v>170</v>
      </c>
      <c r="F33" s="5" t="s">
        <v>10</v>
      </c>
      <c r="G33" s="5" t="s">
        <v>10</v>
      </c>
      <c r="H33" s="5" t="s">
        <v>20</v>
      </c>
      <c r="I33" s="5">
        <v>4.3</v>
      </c>
      <c r="J33" s="5" t="s">
        <v>81</v>
      </c>
    </row>
    <row r="34" spans="1:10">
      <c r="A34" s="2" t="s">
        <v>82</v>
      </c>
      <c r="B34" s="3" t="s">
        <v>102</v>
      </c>
      <c r="C34" s="3">
        <v>8.1999999999999993</v>
      </c>
      <c r="D34" s="3">
        <v>38</v>
      </c>
      <c r="E34" s="3">
        <v>170</v>
      </c>
      <c r="F34" s="3" t="s">
        <v>10</v>
      </c>
      <c r="G34" s="3" t="s">
        <v>10</v>
      </c>
      <c r="H34" s="3" t="s">
        <v>20</v>
      </c>
      <c r="I34" s="3">
        <v>4.3</v>
      </c>
      <c r="J34" s="3" t="s">
        <v>83</v>
      </c>
    </row>
    <row r="35" spans="1:10">
      <c r="A35" s="4" t="s">
        <v>84</v>
      </c>
      <c r="B35" s="5" t="s">
        <v>102</v>
      </c>
      <c r="C35" s="5">
        <v>8.4</v>
      </c>
      <c r="D35" s="5">
        <v>39</v>
      </c>
      <c r="E35" s="5">
        <v>175</v>
      </c>
      <c r="F35" s="5" t="s">
        <v>10</v>
      </c>
      <c r="G35" s="5" t="s">
        <v>10</v>
      </c>
      <c r="H35" s="5" t="s">
        <v>20</v>
      </c>
      <c r="I35" s="5">
        <v>4.4000000000000004</v>
      </c>
      <c r="J35" s="5" t="s">
        <v>85</v>
      </c>
    </row>
    <row r="36" spans="1:10">
      <c r="A36" s="2" t="s">
        <v>86</v>
      </c>
      <c r="B36" s="3" t="s">
        <v>102</v>
      </c>
      <c r="C36" s="3">
        <v>8.1</v>
      </c>
      <c r="D36" s="3">
        <v>40</v>
      </c>
      <c r="E36" s="3">
        <v>160</v>
      </c>
      <c r="F36" s="3" t="s">
        <v>10</v>
      </c>
      <c r="G36" s="3" t="s">
        <v>10</v>
      </c>
      <c r="H36" s="3" t="s">
        <v>20</v>
      </c>
      <c r="I36" s="3">
        <v>4.2</v>
      </c>
      <c r="J36" s="3" t="s">
        <v>87</v>
      </c>
    </row>
    <row r="37" spans="1:10">
      <c r="A37" s="4" t="s">
        <v>88</v>
      </c>
      <c r="B37" s="5" t="s">
        <v>102</v>
      </c>
      <c r="C37" s="5">
        <v>8.5</v>
      </c>
      <c r="D37" s="5">
        <v>37</v>
      </c>
      <c r="E37" s="5">
        <v>175</v>
      </c>
      <c r="F37" s="5" t="s">
        <v>10</v>
      </c>
      <c r="G37" s="5" t="s">
        <v>10</v>
      </c>
      <c r="H37" s="5" t="s">
        <v>20</v>
      </c>
      <c r="I37" s="5">
        <v>4.3</v>
      </c>
      <c r="J37" s="5" t="s">
        <v>89</v>
      </c>
    </row>
    <row r="38" spans="1:10">
      <c r="A38" s="2" t="s">
        <v>90</v>
      </c>
      <c r="B38" s="3" t="s">
        <v>102</v>
      </c>
      <c r="C38" s="3">
        <v>8.1999999999999993</v>
      </c>
      <c r="D38" s="3">
        <v>36</v>
      </c>
      <c r="E38" s="3">
        <v>150</v>
      </c>
      <c r="F38" s="3" t="s">
        <v>10</v>
      </c>
      <c r="G38" s="3" t="s">
        <v>11</v>
      </c>
      <c r="H38" s="3" t="s">
        <v>20</v>
      </c>
      <c r="I38" s="3">
        <v>4.9000000000000004</v>
      </c>
      <c r="J38" s="3" t="s">
        <v>91</v>
      </c>
    </row>
    <row r="39" spans="1:10">
      <c r="A39" s="4" t="s">
        <v>92</v>
      </c>
      <c r="B39" s="5" t="s">
        <v>102</v>
      </c>
      <c r="C39" s="5">
        <v>8.1999999999999993</v>
      </c>
      <c r="D39" s="5">
        <v>40</v>
      </c>
      <c r="E39" s="5">
        <v>130</v>
      </c>
      <c r="F39" s="5" t="s">
        <v>10</v>
      </c>
      <c r="G39" s="5" t="s">
        <v>10</v>
      </c>
      <c r="H39" s="5" t="s">
        <v>20</v>
      </c>
      <c r="I39" s="5">
        <v>4.2</v>
      </c>
      <c r="J39" s="5" t="s">
        <v>93</v>
      </c>
    </row>
    <row r="40" spans="1:10">
      <c r="A40" s="2" t="s">
        <v>94</v>
      </c>
      <c r="B40" s="3" t="s">
        <v>102</v>
      </c>
      <c r="C40" s="3">
        <v>7.9</v>
      </c>
      <c r="D40" s="3">
        <v>48</v>
      </c>
      <c r="E40" s="3">
        <v>160</v>
      </c>
      <c r="F40" s="3" t="s">
        <v>10</v>
      </c>
      <c r="G40" s="3" t="s">
        <v>11</v>
      </c>
      <c r="H40" s="3" t="s">
        <v>39</v>
      </c>
      <c r="I40" s="3">
        <v>4.9000000000000004</v>
      </c>
      <c r="J40" s="3" t="s">
        <v>95</v>
      </c>
    </row>
    <row r="41" spans="1:10">
      <c r="A41" s="4" t="s">
        <v>96</v>
      </c>
      <c r="B41" s="5" t="s">
        <v>102</v>
      </c>
      <c r="C41" s="5">
        <v>7.2</v>
      </c>
      <c r="D41" s="5">
        <v>49</v>
      </c>
      <c r="E41" s="5">
        <v>190</v>
      </c>
      <c r="F41" s="5" t="s">
        <v>10</v>
      </c>
      <c r="G41" s="5" t="s">
        <v>10</v>
      </c>
      <c r="H41" s="5" t="s">
        <v>97</v>
      </c>
      <c r="I41" s="5">
        <v>4.4000000000000004</v>
      </c>
      <c r="J41" s="5" t="s">
        <v>98</v>
      </c>
    </row>
  </sheetData>
  <phoneticPr fontId="9" type="noConversion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I11"/>
  <sheetViews>
    <sheetView workbookViewId="0"/>
  </sheetViews>
  <sheetFormatPr defaultRowHeight="14.5"/>
  <cols>
    <col min="1" max="1" width="28" customWidth="1"/>
    <col min="2" max="4" width="14" customWidth="1"/>
    <col min="5" max="6" width="10" customWidth="1"/>
    <col min="7" max="7" width="55.8984375" bestFit="1" customWidth="1"/>
    <col min="8" max="8" width="12" customWidth="1"/>
    <col min="9" max="9" width="54.796875" bestFit="1" customWidth="1"/>
  </cols>
  <sheetData>
    <row r="1" spans="1:9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>
      <c r="A2" s="2" t="s">
        <v>9</v>
      </c>
      <c r="B2" s="3">
        <v>6</v>
      </c>
      <c r="C2" s="3">
        <v>34</v>
      </c>
      <c r="D2" s="3">
        <v>170</v>
      </c>
      <c r="E2" s="3" t="s">
        <v>10</v>
      </c>
      <c r="F2" s="3" t="s">
        <v>11</v>
      </c>
      <c r="G2" s="3" t="s">
        <v>12</v>
      </c>
      <c r="H2" s="3">
        <v>4.7</v>
      </c>
      <c r="I2" s="3" t="s">
        <v>13</v>
      </c>
    </row>
    <row r="3" spans="1:9">
      <c r="A3" s="4" t="s">
        <v>14</v>
      </c>
      <c r="B3" s="5">
        <v>4.0999999999999996</v>
      </c>
      <c r="C3" s="5">
        <v>23</v>
      </c>
      <c r="D3" s="5">
        <v>150</v>
      </c>
      <c r="E3" s="5" t="s">
        <v>10</v>
      </c>
      <c r="F3" s="5" t="s">
        <v>10</v>
      </c>
      <c r="G3" s="5" t="s">
        <v>15</v>
      </c>
      <c r="H3" s="5">
        <v>4.5999999999999996</v>
      </c>
      <c r="I3" s="5" t="s">
        <v>16</v>
      </c>
    </row>
    <row r="4" spans="1:9">
      <c r="A4" s="2" t="s">
        <v>17</v>
      </c>
      <c r="B4" s="3">
        <v>4</v>
      </c>
      <c r="C4" s="3">
        <v>23</v>
      </c>
      <c r="D4" s="3">
        <v>130</v>
      </c>
      <c r="E4" s="3" t="s">
        <v>10</v>
      </c>
      <c r="F4" s="3" t="s">
        <v>10</v>
      </c>
      <c r="G4" s="3" t="s">
        <v>15</v>
      </c>
      <c r="H4" s="3">
        <v>4.8</v>
      </c>
      <c r="I4" s="3" t="s">
        <v>18</v>
      </c>
    </row>
    <row r="5" spans="1:9">
      <c r="A5" s="4" t="s">
        <v>19</v>
      </c>
      <c r="B5" s="5">
        <v>5.2</v>
      </c>
      <c r="C5" s="5">
        <v>29</v>
      </c>
      <c r="D5" s="5">
        <v>120</v>
      </c>
      <c r="E5" s="5" t="s">
        <v>11</v>
      </c>
      <c r="F5" s="5" t="s">
        <v>10</v>
      </c>
      <c r="G5" s="5" t="s">
        <v>20</v>
      </c>
      <c r="H5" s="5">
        <v>4.7</v>
      </c>
      <c r="I5" s="5" t="s">
        <v>21</v>
      </c>
    </row>
    <row r="6" spans="1:9">
      <c r="A6" s="2" t="s">
        <v>22</v>
      </c>
      <c r="B6" s="3">
        <v>5.5</v>
      </c>
      <c r="C6" s="3">
        <v>29</v>
      </c>
      <c r="D6" s="3">
        <v>130</v>
      </c>
      <c r="E6" s="3" t="s">
        <v>10</v>
      </c>
      <c r="F6" s="3" t="s">
        <v>10</v>
      </c>
      <c r="G6" s="3" t="s">
        <v>23</v>
      </c>
      <c r="H6" s="3">
        <v>4.7</v>
      </c>
      <c r="I6" s="3" t="s">
        <v>24</v>
      </c>
    </row>
    <row r="7" spans="1:9">
      <c r="A7" s="4" t="s">
        <v>25</v>
      </c>
      <c r="B7" s="5">
        <v>4.7</v>
      </c>
      <c r="C7" s="5">
        <v>25</v>
      </c>
      <c r="D7" s="5">
        <v>130</v>
      </c>
      <c r="E7" s="5" t="s">
        <v>10</v>
      </c>
      <c r="F7" s="5" t="s">
        <v>10</v>
      </c>
      <c r="G7" s="5" t="s">
        <v>15</v>
      </c>
      <c r="H7" s="5">
        <v>4.9000000000000004</v>
      </c>
      <c r="I7" s="5" t="s">
        <v>26</v>
      </c>
    </row>
    <row r="8" spans="1:9">
      <c r="A8" s="2" t="s">
        <v>27</v>
      </c>
      <c r="B8" s="3">
        <v>12.3</v>
      </c>
      <c r="C8" s="3">
        <v>47</v>
      </c>
      <c r="D8" s="3">
        <v>120</v>
      </c>
      <c r="E8" s="3" t="s">
        <v>10</v>
      </c>
      <c r="F8" s="3" t="s">
        <v>10</v>
      </c>
      <c r="G8" s="3" t="s">
        <v>20</v>
      </c>
      <c r="H8" s="3">
        <v>4.5</v>
      </c>
      <c r="I8" s="3" t="s">
        <v>28</v>
      </c>
    </row>
    <row r="9" spans="1:9">
      <c r="A9" s="4" t="s">
        <v>29</v>
      </c>
      <c r="B9" s="5">
        <v>5.2</v>
      </c>
      <c r="C9" s="5">
        <v>34</v>
      </c>
      <c r="D9" s="5">
        <v>110</v>
      </c>
      <c r="E9" s="5" t="s">
        <v>11</v>
      </c>
      <c r="F9" s="5" t="s">
        <v>10</v>
      </c>
      <c r="G9" s="5" t="s">
        <v>20</v>
      </c>
      <c r="H9" s="5">
        <v>4.3</v>
      </c>
      <c r="I9" s="5" t="s">
        <v>30</v>
      </c>
    </row>
    <row r="10" spans="1:9">
      <c r="A10" s="2" t="s">
        <v>31</v>
      </c>
      <c r="B10" s="3">
        <v>7</v>
      </c>
      <c r="C10" s="3">
        <v>39</v>
      </c>
      <c r="D10" s="3">
        <v>175</v>
      </c>
      <c r="E10" s="3" t="s">
        <v>10</v>
      </c>
      <c r="F10" s="3" t="s">
        <v>10</v>
      </c>
      <c r="G10" s="3" t="s">
        <v>20</v>
      </c>
      <c r="H10" s="3">
        <v>4.2</v>
      </c>
      <c r="I10" s="3" t="s">
        <v>32</v>
      </c>
    </row>
    <row r="11" spans="1:9">
      <c r="A11" s="4" t="s">
        <v>33</v>
      </c>
      <c r="B11" s="5">
        <v>13</v>
      </c>
      <c r="C11" s="5">
        <v>55</v>
      </c>
      <c r="D11" s="5">
        <v>120</v>
      </c>
      <c r="E11" s="5" t="s">
        <v>10</v>
      </c>
      <c r="F11" s="5" t="s">
        <v>10</v>
      </c>
      <c r="G11" s="5" t="s">
        <v>34</v>
      </c>
      <c r="H11" s="5">
        <v>4.8</v>
      </c>
      <c r="I11" s="5" t="s">
        <v>35</v>
      </c>
    </row>
  </sheetData>
  <phoneticPr fontId="9" type="noConversion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I11"/>
  <sheetViews>
    <sheetView topLeftCell="D1" workbookViewId="0">
      <selection activeCell="C20" sqref="C20"/>
    </sheetView>
  </sheetViews>
  <sheetFormatPr defaultRowHeight="14.5"/>
  <cols>
    <col min="1" max="1" width="28" customWidth="1"/>
    <col min="2" max="4" width="14" customWidth="1"/>
    <col min="5" max="6" width="10" customWidth="1"/>
    <col min="7" max="7" width="55.8984375" bestFit="1" customWidth="1"/>
    <col min="8" max="8" width="12" customWidth="1"/>
    <col min="9" max="9" width="65.19921875" bestFit="1" customWidth="1"/>
  </cols>
  <sheetData>
    <row r="1" spans="1:9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>
      <c r="A2" s="2" t="s">
        <v>36</v>
      </c>
      <c r="B2" s="3">
        <v>0.5</v>
      </c>
      <c r="C2" s="3">
        <v>0</v>
      </c>
      <c r="D2" s="3">
        <v>150</v>
      </c>
      <c r="E2" s="3" t="s">
        <v>10</v>
      </c>
      <c r="F2" s="3" t="s">
        <v>10</v>
      </c>
      <c r="G2" s="3" t="s">
        <v>20</v>
      </c>
      <c r="H2" s="3">
        <v>4.7</v>
      </c>
      <c r="I2" s="3" t="s">
        <v>37</v>
      </c>
    </row>
    <row r="3" spans="1:9">
      <c r="A3" s="4" t="s">
        <v>38</v>
      </c>
      <c r="B3" s="5">
        <v>4.3</v>
      </c>
      <c r="C3" s="5">
        <v>23</v>
      </c>
      <c r="D3" s="5">
        <v>135</v>
      </c>
      <c r="E3" s="5" t="s">
        <v>10</v>
      </c>
      <c r="F3" s="5" t="s">
        <v>11</v>
      </c>
      <c r="G3" s="5" t="s">
        <v>39</v>
      </c>
      <c r="H3" s="5">
        <v>4.5</v>
      </c>
      <c r="I3" s="5" t="s">
        <v>40</v>
      </c>
    </row>
    <row r="4" spans="1:9">
      <c r="A4" s="2" t="s">
        <v>41</v>
      </c>
      <c r="B4" s="3">
        <v>4.0999999999999996</v>
      </c>
      <c r="C4" s="3">
        <v>23</v>
      </c>
      <c r="D4" s="3">
        <v>150</v>
      </c>
      <c r="E4" s="3" t="s">
        <v>10</v>
      </c>
      <c r="F4" s="3" t="s">
        <v>10</v>
      </c>
      <c r="G4" s="3" t="s">
        <v>20</v>
      </c>
      <c r="H4" s="3">
        <v>4.5999999999999996</v>
      </c>
      <c r="I4" s="3" t="s">
        <v>42</v>
      </c>
    </row>
    <row r="5" spans="1:9">
      <c r="A5" s="4" t="s">
        <v>43</v>
      </c>
      <c r="B5" s="5">
        <v>5.8</v>
      </c>
      <c r="C5" s="5">
        <v>30</v>
      </c>
      <c r="D5" s="5">
        <v>175</v>
      </c>
      <c r="E5" s="5" t="s">
        <v>10</v>
      </c>
      <c r="F5" s="5" t="s">
        <v>10</v>
      </c>
      <c r="G5" s="5" t="s">
        <v>15</v>
      </c>
      <c r="H5" s="5">
        <v>4.2</v>
      </c>
      <c r="I5" s="5" t="s">
        <v>44</v>
      </c>
    </row>
    <row r="6" spans="1:9">
      <c r="A6" s="2" t="s">
        <v>45</v>
      </c>
      <c r="B6" s="3">
        <v>5.6</v>
      </c>
      <c r="C6" s="3">
        <v>28</v>
      </c>
      <c r="D6" s="3">
        <v>175</v>
      </c>
      <c r="E6" s="3" t="s">
        <v>10</v>
      </c>
      <c r="F6" s="3" t="s">
        <v>10</v>
      </c>
      <c r="G6" s="3" t="s">
        <v>15</v>
      </c>
      <c r="H6" s="3">
        <v>4.5</v>
      </c>
      <c r="I6" s="3" t="s">
        <v>46</v>
      </c>
    </row>
    <row r="7" spans="1:9">
      <c r="A7" s="4" t="s">
        <v>47</v>
      </c>
      <c r="B7" s="5">
        <v>2.2000000000000002</v>
      </c>
      <c r="C7" s="5">
        <v>18</v>
      </c>
      <c r="D7" s="5">
        <v>155</v>
      </c>
      <c r="E7" s="5" t="s">
        <v>10</v>
      </c>
      <c r="F7" s="5" t="s">
        <v>10</v>
      </c>
      <c r="G7" s="5" t="s">
        <v>12</v>
      </c>
      <c r="H7" s="5">
        <v>4.8</v>
      </c>
      <c r="I7" s="5" t="s">
        <v>48</v>
      </c>
    </row>
    <row r="8" spans="1:9">
      <c r="A8" s="2" t="s">
        <v>49</v>
      </c>
      <c r="B8" s="3">
        <v>2.9</v>
      </c>
      <c r="C8" s="3">
        <v>16</v>
      </c>
      <c r="D8" s="3">
        <v>180</v>
      </c>
      <c r="E8" s="3" t="s">
        <v>10</v>
      </c>
      <c r="F8" s="3" t="s">
        <v>10</v>
      </c>
      <c r="G8" s="3" t="s">
        <v>50</v>
      </c>
      <c r="H8" s="3">
        <v>4.8</v>
      </c>
      <c r="I8" s="3" t="s">
        <v>51</v>
      </c>
    </row>
    <row r="9" spans="1:9">
      <c r="A9" s="4" t="s">
        <v>52</v>
      </c>
      <c r="B9" s="5">
        <v>0.6</v>
      </c>
      <c r="C9" s="5">
        <v>0</v>
      </c>
      <c r="D9" s="5">
        <v>155</v>
      </c>
      <c r="E9" s="5" t="s">
        <v>10</v>
      </c>
      <c r="F9" s="5" t="s">
        <v>11</v>
      </c>
      <c r="G9" s="5" t="s">
        <v>20</v>
      </c>
      <c r="H9" s="5">
        <v>5</v>
      </c>
      <c r="I9" s="5" t="s">
        <v>53</v>
      </c>
    </row>
    <row r="10" spans="1:9">
      <c r="A10" s="2" t="s">
        <v>54</v>
      </c>
      <c r="B10" s="3">
        <v>0.55000000000000004</v>
      </c>
      <c r="C10" s="3">
        <v>0</v>
      </c>
      <c r="D10" s="3">
        <v>230</v>
      </c>
      <c r="E10" s="3" t="s">
        <v>10</v>
      </c>
      <c r="F10" s="3" t="s">
        <v>10</v>
      </c>
      <c r="G10" s="3" t="s">
        <v>20</v>
      </c>
      <c r="H10" s="3">
        <v>4.5</v>
      </c>
      <c r="I10" s="3" t="s">
        <v>55</v>
      </c>
    </row>
    <row r="11" spans="1:9">
      <c r="A11" s="4" t="s">
        <v>56</v>
      </c>
      <c r="B11" s="5">
        <v>0.95</v>
      </c>
      <c r="C11" s="5">
        <v>8</v>
      </c>
      <c r="D11" s="5">
        <v>150</v>
      </c>
      <c r="E11" s="5" t="s">
        <v>10</v>
      </c>
      <c r="F11" s="5" t="s">
        <v>11</v>
      </c>
      <c r="G11" s="5" t="s">
        <v>34</v>
      </c>
      <c r="H11" s="5">
        <v>4.7</v>
      </c>
      <c r="I11" s="5" t="s">
        <v>57</v>
      </c>
    </row>
  </sheetData>
  <phoneticPr fontId="9" type="noConversion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/>
  <dimension ref="A1:I21"/>
  <sheetViews>
    <sheetView topLeftCell="C1" workbookViewId="0"/>
  </sheetViews>
  <sheetFormatPr defaultRowHeight="14.5"/>
  <cols>
    <col min="1" max="1" width="28" customWidth="1"/>
    <col min="2" max="4" width="14" customWidth="1"/>
    <col min="5" max="6" width="10" customWidth="1"/>
    <col min="7" max="7" width="42.5" bestFit="1" customWidth="1"/>
    <col min="8" max="8" width="12" customWidth="1"/>
    <col min="9" max="9" width="55.796875" bestFit="1" customWidth="1"/>
  </cols>
  <sheetData>
    <row r="1" spans="1:9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>
      <c r="A2" s="2" t="s">
        <v>58</v>
      </c>
      <c r="B2" s="3">
        <v>6.5</v>
      </c>
      <c r="C2" s="3">
        <v>46</v>
      </c>
      <c r="D2" s="3">
        <v>200</v>
      </c>
      <c r="E2" s="3" t="s">
        <v>10</v>
      </c>
      <c r="F2" s="3" t="s">
        <v>10</v>
      </c>
      <c r="G2" s="3" t="s">
        <v>20</v>
      </c>
      <c r="H2" s="3">
        <v>4.0999999999999996</v>
      </c>
      <c r="I2" s="3" t="s">
        <v>59</v>
      </c>
    </row>
    <row r="3" spans="1:9">
      <c r="A3" s="4" t="s">
        <v>60</v>
      </c>
      <c r="B3" s="5">
        <v>8.3000000000000007</v>
      </c>
      <c r="C3" s="5">
        <v>51</v>
      </c>
      <c r="D3" s="5">
        <v>180</v>
      </c>
      <c r="E3" s="5" t="s">
        <v>10</v>
      </c>
      <c r="F3" s="5" t="s">
        <v>10</v>
      </c>
      <c r="G3" s="5" t="s">
        <v>20</v>
      </c>
      <c r="H3" s="5">
        <v>4.3</v>
      </c>
      <c r="I3" s="5" t="s">
        <v>61</v>
      </c>
    </row>
    <row r="4" spans="1:9">
      <c r="A4" s="2" t="s">
        <v>62</v>
      </c>
      <c r="B4" s="3">
        <v>7.4</v>
      </c>
      <c r="C4" s="3">
        <v>57</v>
      </c>
      <c r="D4" s="3">
        <v>175</v>
      </c>
      <c r="E4" s="3" t="s">
        <v>10</v>
      </c>
      <c r="F4" s="3" t="s">
        <v>10</v>
      </c>
      <c r="G4" s="3" t="s">
        <v>39</v>
      </c>
      <c r="H4" s="3">
        <v>4.5999999999999996</v>
      </c>
      <c r="I4" s="3" t="s">
        <v>63</v>
      </c>
    </row>
    <row r="5" spans="1:9">
      <c r="A5" s="4" t="s">
        <v>64</v>
      </c>
      <c r="B5" s="5">
        <v>9.4</v>
      </c>
      <c r="C5" s="5">
        <v>55</v>
      </c>
      <c r="D5" s="5">
        <v>180</v>
      </c>
      <c r="E5" s="5" t="s">
        <v>10</v>
      </c>
      <c r="F5" s="5" t="s">
        <v>10</v>
      </c>
      <c r="G5" s="5" t="s">
        <v>20</v>
      </c>
      <c r="H5" s="5">
        <v>4.4000000000000004</v>
      </c>
      <c r="I5" s="5" t="s">
        <v>65</v>
      </c>
    </row>
    <row r="6" spans="1:9">
      <c r="A6" s="2" t="s">
        <v>66</v>
      </c>
      <c r="B6" s="3">
        <v>9</v>
      </c>
      <c r="C6" s="3">
        <v>49</v>
      </c>
      <c r="D6" s="3">
        <v>170</v>
      </c>
      <c r="E6" s="3" t="s">
        <v>10</v>
      </c>
      <c r="F6" s="3" t="s">
        <v>10</v>
      </c>
      <c r="G6" s="3" t="s">
        <v>20</v>
      </c>
      <c r="H6" s="3">
        <v>4.8</v>
      </c>
      <c r="I6" s="3" t="s">
        <v>67</v>
      </c>
    </row>
    <row r="7" spans="1:9">
      <c r="A7" s="4" t="s">
        <v>68</v>
      </c>
      <c r="B7" s="5">
        <v>8.4</v>
      </c>
      <c r="C7" s="5">
        <v>51</v>
      </c>
      <c r="D7" s="5">
        <v>105</v>
      </c>
      <c r="E7" s="5" t="s">
        <v>10</v>
      </c>
      <c r="F7" s="5" t="s">
        <v>10</v>
      </c>
      <c r="G7" s="5" t="s">
        <v>20</v>
      </c>
      <c r="H7" s="5">
        <v>4.5999999999999996</v>
      </c>
      <c r="I7" s="5" t="s">
        <v>69</v>
      </c>
    </row>
    <row r="8" spans="1:9">
      <c r="A8" s="2" t="s">
        <v>70</v>
      </c>
      <c r="B8" s="3">
        <v>8.9</v>
      </c>
      <c r="C8" s="3">
        <v>48</v>
      </c>
      <c r="D8" s="3">
        <v>130</v>
      </c>
      <c r="E8" s="3" t="s">
        <v>10</v>
      </c>
      <c r="F8" s="3" t="s">
        <v>10</v>
      </c>
      <c r="G8" s="3" t="s">
        <v>20</v>
      </c>
      <c r="H8" s="3">
        <v>4.7</v>
      </c>
      <c r="I8" s="3" t="s">
        <v>71</v>
      </c>
    </row>
    <row r="9" spans="1:9">
      <c r="A9" s="4" t="s">
        <v>72</v>
      </c>
      <c r="B9" s="5">
        <v>6.9</v>
      </c>
      <c r="C9" s="5">
        <v>38</v>
      </c>
      <c r="D9" s="5">
        <v>180</v>
      </c>
      <c r="E9" s="5" t="s">
        <v>10</v>
      </c>
      <c r="F9" s="5" t="s">
        <v>10</v>
      </c>
      <c r="G9" s="5" t="s">
        <v>39</v>
      </c>
      <c r="H9" s="5">
        <v>4.3</v>
      </c>
      <c r="I9" s="5" t="s">
        <v>73</v>
      </c>
    </row>
    <row r="10" spans="1:9">
      <c r="A10" s="2" t="s">
        <v>74</v>
      </c>
      <c r="B10" s="3">
        <v>5.4</v>
      </c>
      <c r="C10" s="3">
        <v>44</v>
      </c>
      <c r="D10" s="3">
        <v>170</v>
      </c>
      <c r="E10" s="3" t="s">
        <v>10</v>
      </c>
      <c r="F10" s="3" t="s">
        <v>10</v>
      </c>
      <c r="G10" s="3" t="s">
        <v>20</v>
      </c>
      <c r="H10" s="3">
        <v>4.5</v>
      </c>
      <c r="I10" s="3" t="s">
        <v>75</v>
      </c>
    </row>
    <row r="11" spans="1:9">
      <c r="A11" s="4" t="s">
        <v>76</v>
      </c>
      <c r="B11" s="5">
        <v>6.7</v>
      </c>
      <c r="C11" s="5">
        <v>43</v>
      </c>
      <c r="D11" s="5">
        <v>230</v>
      </c>
      <c r="E11" s="5" t="s">
        <v>10</v>
      </c>
      <c r="F11" s="5" t="s">
        <v>10</v>
      </c>
      <c r="G11" s="5" t="s">
        <v>39</v>
      </c>
      <c r="H11" s="5">
        <v>4.5</v>
      </c>
      <c r="I11" s="5" t="s">
        <v>77</v>
      </c>
    </row>
    <row r="12" spans="1:9">
      <c r="A12" s="2" t="s">
        <v>78</v>
      </c>
      <c r="B12" s="3">
        <v>7.6</v>
      </c>
      <c r="C12" s="3">
        <v>42</v>
      </c>
      <c r="D12" s="3">
        <v>180</v>
      </c>
      <c r="E12" s="3" t="s">
        <v>10</v>
      </c>
      <c r="F12" s="3" t="s">
        <v>10</v>
      </c>
      <c r="G12" s="3" t="s">
        <v>20</v>
      </c>
      <c r="H12" s="3">
        <v>4.2</v>
      </c>
      <c r="I12" s="3" t="s">
        <v>79</v>
      </c>
    </row>
    <row r="13" spans="1:9">
      <c r="A13" s="4" t="s">
        <v>80</v>
      </c>
      <c r="B13" s="5">
        <v>8.1999999999999993</v>
      </c>
      <c r="C13" s="5">
        <v>61</v>
      </c>
      <c r="D13" s="5">
        <v>170</v>
      </c>
      <c r="E13" s="5" t="s">
        <v>10</v>
      </c>
      <c r="F13" s="5" t="s">
        <v>10</v>
      </c>
      <c r="G13" s="5" t="s">
        <v>20</v>
      </c>
      <c r="H13" s="5">
        <v>4.3</v>
      </c>
      <c r="I13" s="5" t="s">
        <v>81</v>
      </c>
    </row>
    <row r="14" spans="1:9">
      <c r="A14" s="2" t="s">
        <v>82</v>
      </c>
      <c r="B14" s="3">
        <v>8.1999999999999993</v>
      </c>
      <c r="C14" s="3">
        <v>38</v>
      </c>
      <c r="D14" s="3">
        <v>170</v>
      </c>
      <c r="E14" s="3" t="s">
        <v>10</v>
      </c>
      <c r="F14" s="3" t="s">
        <v>10</v>
      </c>
      <c r="G14" s="3" t="s">
        <v>20</v>
      </c>
      <c r="H14" s="3">
        <v>4.3</v>
      </c>
      <c r="I14" s="3" t="s">
        <v>83</v>
      </c>
    </row>
    <row r="15" spans="1:9">
      <c r="A15" s="4" t="s">
        <v>84</v>
      </c>
      <c r="B15" s="5">
        <v>8.4</v>
      </c>
      <c r="C15" s="5">
        <v>39</v>
      </c>
      <c r="D15" s="5">
        <v>175</v>
      </c>
      <c r="E15" s="5" t="s">
        <v>10</v>
      </c>
      <c r="F15" s="5" t="s">
        <v>10</v>
      </c>
      <c r="G15" s="5" t="s">
        <v>20</v>
      </c>
      <c r="H15" s="5">
        <v>4.4000000000000004</v>
      </c>
      <c r="I15" s="5" t="s">
        <v>85</v>
      </c>
    </row>
    <row r="16" spans="1:9">
      <c r="A16" s="2" t="s">
        <v>86</v>
      </c>
      <c r="B16" s="3">
        <v>8.1</v>
      </c>
      <c r="C16" s="3">
        <v>40</v>
      </c>
      <c r="D16" s="3">
        <v>160</v>
      </c>
      <c r="E16" s="3" t="s">
        <v>10</v>
      </c>
      <c r="F16" s="3" t="s">
        <v>10</v>
      </c>
      <c r="G16" s="3" t="s">
        <v>20</v>
      </c>
      <c r="H16" s="3">
        <v>4.2</v>
      </c>
      <c r="I16" s="3" t="s">
        <v>87</v>
      </c>
    </row>
    <row r="17" spans="1:9">
      <c r="A17" s="4" t="s">
        <v>88</v>
      </c>
      <c r="B17" s="5">
        <v>8.5</v>
      </c>
      <c r="C17" s="5">
        <v>37</v>
      </c>
      <c r="D17" s="5">
        <v>175</v>
      </c>
      <c r="E17" s="5" t="s">
        <v>10</v>
      </c>
      <c r="F17" s="5" t="s">
        <v>10</v>
      </c>
      <c r="G17" s="5" t="s">
        <v>20</v>
      </c>
      <c r="H17" s="5">
        <v>4.3</v>
      </c>
      <c r="I17" s="5" t="s">
        <v>89</v>
      </c>
    </row>
    <row r="18" spans="1:9">
      <c r="A18" s="2" t="s">
        <v>90</v>
      </c>
      <c r="B18" s="3">
        <v>8.1999999999999993</v>
      </c>
      <c r="C18" s="3">
        <v>36</v>
      </c>
      <c r="D18" s="3">
        <v>150</v>
      </c>
      <c r="E18" s="3" t="s">
        <v>10</v>
      </c>
      <c r="F18" s="3" t="s">
        <v>11</v>
      </c>
      <c r="G18" s="3" t="s">
        <v>20</v>
      </c>
      <c r="H18" s="3">
        <v>4.9000000000000004</v>
      </c>
      <c r="I18" s="3" t="s">
        <v>91</v>
      </c>
    </row>
    <row r="19" spans="1:9">
      <c r="A19" s="4" t="s">
        <v>92</v>
      </c>
      <c r="B19" s="5">
        <v>8.1999999999999993</v>
      </c>
      <c r="C19" s="5">
        <v>40</v>
      </c>
      <c r="D19" s="5">
        <v>130</v>
      </c>
      <c r="E19" s="5" t="s">
        <v>10</v>
      </c>
      <c r="F19" s="5" t="s">
        <v>10</v>
      </c>
      <c r="G19" s="5" t="s">
        <v>20</v>
      </c>
      <c r="H19" s="5">
        <v>4.2</v>
      </c>
      <c r="I19" s="5" t="s">
        <v>93</v>
      </c>
    </row>
    <row r="20" spans="1:9">
      <c r="A20" s="2" t="s">
        <v>94</v>
      </c>
      <c r="B20" s="3">
        <v>7.9</v>
      </c>
      <c r="C20" s="3">
        <v>48</v>
      </c>
      <c r="D20" s="3">
        <v>160</v>
      </c>
      <c r="E20" s="3" t="s">
        <v>10</v>
      </c>
      <c r="F20" s="3" t="s">
        <v>11</v>
      </c>
      <c r="G20" s="3" t="s">
        <v>39</v>
      </c>
      <c r="H20" s="3">
        <v>4.9000000000000004</v>
      </c>
      <c r="I20" s="3" t="s">
        <v>95</v>
      </c>
    </row>
    <row r="21" spans="1:9">
      <c r="A21" s="4" t="s">
        <v>96</v>
      </c>
      <c r="B21" s="5">
        <v>7.2</v>
      </c>
      <c r="C21" s="5">
        <v>49</v>
      </c>
      <c r="D21" s="5">
        <v>190</v>
      </c>
      <c r="E21" s="5" t="s">
        <v>10</v>
      </c>
      <c r="F21" s="5" t="s">
        <v>10</v>
      </c>
      <c r="G21" s="5" t="s">
        <v>97</v>
      </c>
      <c r="H21" s="5">
        <v>4.4000000000000004</v>
      </c>
      <c r="I21" s="5" t="s">
        <v>98</v>
      </c>
    </row>
  </sheetData>
  <phoneticPr fontId="9" type="noConversion"/>
  <pageMargins left="0.75" right="0.75" top="1" bottom="1" header="0.5" footer="0.5"/>
</worksheet>
</file>

<file path=docMetadata/LabelInfo.xml><?xml version="1.0" encoding="utf-8"?>
<clbl:labelList xmlns:clbl="http://schemas.microsoft.com/office/2020/mipLabelMetadata">
  <clbl:label id="{ea60d57e-af5b-4752-ac57-3e4f28ca11dc}" enabled="1" method="Standard" siteId="{36da45f1-dd2c-4d1f-af13-5abe46b99921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使用說明</vt:lpstr>
      <vt:lpstr>儀表板</vt:lpstr>
      <vt:lpstr>統計分析</vt:lpstr>
      <vt:lpstr>全部資料</vt:lpstr>
      <vt:lpstr>新店區</vt:lpstr>
      <vt:lpstr>文山區</vt:lpstr>
      <vt:lpstr>大安區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terms="http://purl.org/dc/terms/" xmlns:xsi="http://www.w3.org/2001/XMLSchema-instance">
  <dcterms:created xsi:type="dcterms:W3CDTF">2026-04-18T11:46:59Z</dcterms:created>
  <dcterms:modified xsi:type="dcterms:W3CDTF">2026-04-19T06:13:11Z</dcterms:modified>
</cp:coreProperties>
</file>